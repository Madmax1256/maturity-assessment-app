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vantaz-my.sharepoint.com/personal/mgajardo_vantaz_com/Documents/Documentos/Paquetización SSO/Fatiga &amp; Somnolencia/"/>
    </mc:Choice>
  </mc:AlternateContent>
  <xr:revisionPtr revIDLastSave="1600" documentId="8_{C59BDC2B-1B02-4BDB-BCDF-1E7B159D389E}" xr6:coauthVersionLast="47" xr6:coauthVersionMax="47" xr10:uidLastSave="{53776CFC-6513-4625-AD52-C289DAF22039}"/>
  <bookViews>
    <workbookView xWindow="-110" yWindow="-110" windowWidth="19420" windowHeight="11500" tabRatio="500" xr2:uid="{00000000-000D-0000-FFFF-FFFF00000000}"/>
  </bookViews>
  <sheets>
    <sheet name="INICIO - DASHBOARD" sheetId="1" r:id="rId1"/>
    <sheet name="Preguntas" sheetId="2" r:id="rId2"/>
    <sheet name="Rúbrica de Evaluación" sheetId="8" r:id="rId3"/>
    <sheet name="Escala" sheetId="4" r:id="rId4"/>
    <sheet name="Listas Evaluación" sheetId="5" state="hidden" r:id="rId5"/>
    <sheet name="Matriz de Prioridades" sheetId="6" r:id="rId6"/>
    <sheet name="Evidencia Observada" sheetId="7" r:id="rId7"/>
  </sheets>
  <externalReferences>
    <externalReference r:id="rId8"/>
  </externalReferences>
  <definedNames>
    <definedName name="_xlchart.v1.0" hidden="1">'Matriz de Prioridades'!$B$41:$B$44</definedName>
    <definedName name="_xlchart.v1.1" hidden="1">'Matriz de Prioridades'!$C$36:$C$39</definedName>
    <definedName name="cfg_ConsNom">'[1]01 Configuration'!$B$72:$B$74</definedName>
    <definedName name="cfg_NivNom">'[1]01 Configuration'!$B$61:$B$66</definedName>
    <definedName name="cfg_TipoNom">'[1]01 Configuration'!$F$72:$F$74</definedName>
    <definedName name="lst_Dim">'[1]01 Configuration'!$AB$5:$AB$15</definedName>
    <definedName name="lst_Foco">'[1]01 Configuration'!$N$5:$N$7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1" l="1"/>
  <c r="W36" i="1" s="1"/>
  <c r="X36" i="1" s="1"/>
  <c r="E37" i="1"/>
  <c r="W37" i="1" s="1"/>
  <c r="X37" i="1" s="1"/>
  <c r="V37" i="1" s="1"/>
  <c r="E38" i="1"/>
  <c r="G38" i="1" s="1"/>
  <c r="E40" i="1"/>
  <c r="E41" i="1"/>
  <c r="G41" i="1" s="1"/>
  <c r="E42" i="1"/>
  <c r="E43" i="1"/>
  <c r="G43" i="1" s="1"/>
  <c r="E44" i="1"/>
  <c r="E46" i="1"/>
  <c r="E47" i="1"/>
  <c r="Q36" i="1"/>
  <c r="Q37" i="1"/>
  <c r="Q38" i="1"/>
  <c r="Q39" i="1"/>
  <c r="Q40" i="1"/>
  <c r="Q41" i="1"/>
  <c r="Q42" i="1"/>
  <c r="Q43" i="1"/>
  <c r="Q44" i="1"/>
  <c r="Q45" i="1"/>
  <c r="Q46" i="1"/>
  <c r="Q47" i="1"/>
  <c r="R35" i="1"/>
  <c r="S35" i="1"/>
  <c r="T35" i="1"/>
  <c r="U35" i="1"/>
  <c r="V35" i="1"/>
  <c r="I21" i="4"/>
  <c r="I22" i="4"/>
  <c r="I23" i="4"/>
  <c r="I24" i="4"/>
  <c r="I25" i="4"/>
  <c r="D49" i="1"/>
  <c r="J39" i="1"/>
  <c r="M36"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E39" i="1" s="1"/>
  <c r="G39" i="1" s="1"/>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E45" i="1" s="1"/>
  <c r="G45" i="1" s="1"/>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9" i="2"/>
  <c r="G8" i="2"/>
  <c r="G7" i="2"/>
  <c r="G6" i="2"/>
  <c r="G5" i="2"/>
  <c r="S7" i="6"/>
  <c r="O16" i="6"/>
  <c r="S16" i="6" s="1"/>
  <c r="O15" i="6"/>
  <c r="S15" i="6" s="1"/>
  <c r="O14" i="6"/>
  <c r="S14" i="6" s="1"/>
  <c r="O13" i="6"/>
  <c r="S13" i="6" s="1"/>
  <c r="O12" i="6"/>
  <c r="S12" i="6" s="1"/>
  <c r="O11" i="6"/>
  <c r="S11" i="6" s="1"/>
  <c r="O10" i="6"/>
  <c r="S10" i="6" s="1"/>
  <c r="O5" i="6"/>
  <c r="S5" i="6" s="1"/>
  <c r="O6" i="6"/>
  <c r="S6" i="6" s="1"/>
  <c r="O7" i="6"/>
  <c r="O8" i="6"/>
  <c r="S8" i="6" s="1"/>
  <c r="O9" i="6"/>
  <c r="S9" i="6" s="1"/>
  <c r="C37" i="6" s="1"/>
  <c r="B42" i="6" s="1"/>
  <c r="H49" i="1" s="1"/>
  <c r="W38" i="1" l="1"/>
  <c r="X38" i="1" s="1"/>
  <c r="R38" i="1" s="1"/>
  <c r="W45" i="1"/>
  <c r="X45" i="1" s="1"/>
  <c r="R45" i="1" s="1"/>
  <c r="G47" i="1"/>
  <c r="G40" i="1"/>
  <c r="G42" i="1"/>
  <c r="G44" i="1"/>
  <c r="G46" i="1"/>
  <c r="W47" i="1"/>
  <c r="X47" i="1" s="1"/>
  <c r="T47" i="1" s="1"/>
  <c r="W46" i="1"/>
  <c r="X46" i="1" s="1"/>
  <c r="T46" i="1" s="1"/>
  <c r="W44" i="1"/>
  <c r="X44" i="1" s="1"/>
  <c r="Y44" i="1" s="1" a="1"/>
  <c r="Y44" i="1" s="1"/>
  <c r="Z44" i="1" s="1"/>
  <c r="W43" i="1"/>
  <c r="X43" i="1" s="1"/>
  <c r="T43" i="1" s="1"/>
  <c r="W42" i="1"/>
  <c r="X42" i="1" s="1"/>
  <c r="R42" i="1" s="1"/>
  <c r="W41" i="1"/>
  <c r="X41" i="1" s="1"/>
  <c r="U41" i="1" s="1"/>
  <c r="W40" i="1"/>
  <c r="X40" i="1" s="1"/>
  <c r="U40" i="1" s="1"/>
  <c r="W39" i="1"/>
  <c r="X39" i="1" s="1"/>
  <c r="R39" i="1" s="1"/>
  <c r="T37" i="1"/>
  <c r="Y37" i="1" a="1"/>
  <c r="Y37" i="1" s="1"/>
  <c r="Z37" i="1" s="1"/>
  <c r="U37" i="1"/>
  <c r="S37" i="1"/>
  <c r="R37" i="1"/>
  <c r="U45" i="1"/>
  <c r="R36" i="1"/>
  <c r="S36" i="1"/>
  <c r="T36" i="1"/>
  <c r="U36" i="1"/>
  <c r="V36" i="1"/>
  <c r="Y36" i="1" a="1"/>
  <c r="Y36" i="1" s="1"/>
  <c r="Z36" i="1" s="1"/>
  <c r="V45" i="1"/>
  <c r="T45" i="1"/>
  <c r="S45" i="1"/>
  <c r="G36" i="1"/>
  <c r="G37" i="1"/>
  <c r="C39" i="6"/>
  <c r="B44" i="6" s="1"/>
  <c r="N49" i="1" s="1"/>
  <c r="C36" i="6"/>
  <c r="C40" i="6" s="1"/>
  <c r="B45" i="6" s="1"/>
  <c r="C38" i="6"/>
  <c r="B43" i="6" s="1"/>
  <c r="K49" i="1" s="1"/>
  <c r="V38" i="1" l="1"/>
  <c r="Y38" i="1" a="1"/>
  <c r="Y38" i="1" s="1"/>
  <c r="Z38" i="1" s="1"/>
  <c r="U38" i="1"/>
  <c r="T38" i="1"/>
  <c r="S38" i="1"/>
  <c r="Y45" i="1" a="1"/>
  <c r="Y45" i="1" s="1"/>
  <c r="Z45" i="1" s="1"/>
  <c r="R44" i="1"/>
  <c r="S44" i="1"/>
  <c r="R47" i="1"/>
  <c r="V47" i="1"/>
  <c r="U47" i="1"/>
  <c r="Y47" i="1" a="1"/>
  <c r="Y47" i="1" s="1"/>
  <c r="Z47" i="1" s="1"/>
  <c r="S47" i="1"/>
  <c r="T44" i="1"/>
  <c r="Y43" i="1" a="1"/>
  <c r="Y43" i="1" s="1"/>
  <c r="Z43" i="1" s="1"/>
  <c r="S43" i="1"/>
  <c r="U43" i="1"/>
  <c r="V43" i="1"/>
  <c r="R43" i="1"/>
  <c r="U42" i="1"/>
  <c r="T42" i="1"/>
  <c r="V42" i="1"/>
  <c r="Y42" i="1" a="1"/>
  <c r="Y42" i="1" s="1"/>
  <c r="Z42" i="1" s="1"/>
  <c r="S42" i="1"/>
  <c r="Y40" i="1" a="1"/>
  <c r="Y40" i="1" s="1"/>
  <c r="Z40" i="1" s="1"/>
  <c r="S46" i="1"/>
  <c r="U46" i="1"/>
  <c r="R46" i="1"/>
  <c r="V46" i="1"/>
  <c r="Y46" i="1" a="1"/>
  <c r="Y46" i="1" s="1"/>
  <c r="Z46" i="1" s="1"/>
  <c r="U44" i="1"/>
  <c r="V44" i="1"/>
  <c r="R41" i="1"/>
  <c r="Y41" i="1" a="1"/>
  <c r="Y41" i="1" s="1"/>
  <c r="Z41" i="1" s="1"/>
  <c r="S41" i="1"/>
  <c r="V41" i="1"/>
  <c r="T41" i="1"/>
  <c r="T40" i="1"/>
  <c r="R40" i="1"/>
  <c r="V40" i="1"/>
  <c r="S40" i="1"/>
  <c r="U39" i="1"/>
  <c r="V39" i="1"/>
  <c r="T39" i="1"/>
  <c r="S39" i="1"/>
  <c r="Y39" i="1" a="1"/>
  <c r="Y39" i="1" s="1"/>
  <c r="Z39" i="1" s="1"/>
  <c r="M39" i="1"/>
  <c r="J36" i="1"/>
  <c r="B41" i="6"/>
  <c r="J42" i="1"/>
  <c r="J45" i="1"/>
  <c r="G49"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<sst xmlns="http://schemas.openxmlformats.org/spreadsheetml/2006/main" count="4157" uniqueCount="1501">
  <si>
    <t>Guía de uso y acceso a las secciones de la herramienta / Dashboard resultados</t>
  </si>
  <si>
    <t>DATOS DE LA EVALUACIÓN</t>
  </si>
  <si>
    <t>Empresa</t>
  </si>
  <si>
    <t>Fecha de evaluación</t>
  </si>
  <si>
    <t>Realizado por</t>
  </si>
  <si>
    <t>Entrevistado</t>
  </si>
  <si>
    <t>OBJETIVO:</t>
  </si>
  <si>
    <t>METODOLOGÍA:</t>
  </si>
  <si>
    <t>RESULTADOS:</t>
  </si>
  <si>
    <t>INSTRUCTIVO DE USO</t>
  </si>
  <si>
    <t>ESCALA CLASIFICACIÓN GENERAL
NIVEL DE MADUREZ</t>
  </si>
  <si>
    <t>1. Registre los antecedentes de la evaluación en los campos superiores.</t>
  </si>
  <si>
    <t>Nivel 1
(0% - 39%)</t>
  </si>
  <si>
    <t>Inicial/Reactivo</t>
  </si>
  <si>
    <t>Nivel 2
(40% - 59%)</t>
  </si>
  <si>
    <t>Dependiente</t>
  </si>
  <si>
    <t>Nivel 3
(60% - 79%)</t>
  </si>
  <si>
    <t>Independiente</t>
  </si>
  <si>
    <t>Nivel 4
(80% - 99%)</t>
  </si>
  <si>
    <t>Interdependiente</t>
  </si>
  <si>
    <t>Nota: las preguntas sin respuesta se consideran pendientes y reducen el avance mostrado en el dashboard.</t>
  </si>
  <si>
    <t>Nivel 5
(100%)</t>
  </si>
  <si>
    <t>Predictivo</t>
  </si>
  <si>
    <t>CONTENIDO DEL LIBRO</t>
  </si>
  <si>
    <t>Instrucciones</t>
  </si>
  <si>
    <t>Registro inicial y guía de uso.</t>
  </si>
  <si>
    <t>Preguntas</t>
  </si>
  <si>
    <t>Rúbrica de Evaluación</t>
  </si>
  <si>
    <t>Detalle de los criterios de evaluación por nivel de cumplimiento (0/25/50/75/100%).</t>
  </si>
  <si>
    <t>Escala</t>
  </si>
  <si>
    <t>Interpretación detallada de los cinco niveles de madurez, general y por componente.</t>
  </si>
  <si>
    <t>Listas Evaluación</t>
  </si>
  <si>
    <t>Listas de opciones de respuesta utilizadas en los desplegables del cuestionario.</t>
  </si>
  <si>
    <t>COMPONENTE EVALUADO</t>
  </si>
  <si>
    <t>%</t>
  </si>
  <si>
    <t>CLASIFICACIÓN ESPECÍFICA POR COMPONENTE</t>
  </si>
  <si>
    <t>CUMPLIMIENTO GLOBAL</t>
  </si>
  <si>
    <t>RESPUESTAS REGISTRADAS</t>
  </si>
  <si>
    <t>NIVEL GENERAL</t>
  </si>
  <si>
    <t>LECTURA RÁPIDA</t>
  </si>
  <si>
    <t>DIMENSIÓN</t>
  </si>
  <si>
    <t>PREGUNTAS</t>
  </si>
  <si>
    <t>NIVEL DE CUMPLIMIENTO</t>
  </si>
  <si>
    <t>% LOGRADO</t>
  </si>
  <si>
    <t>EVA</t>
  </si>
  <si>
    <t>N°</t>
  </si>
  <si>
    <t>Dimensión</t>
  </si>
  <si>
    <t>N° Preg.</t>
  </si>
  <si>
    <t>Pregunta</t>
  </si>
  <si>
    <t>Criterio 0%</t>
  </si>
  <si>
    <t>Criterio 25%</t>
  </si>
  <si>
    <t>Criterio 50%</t>
  </si>
  <si>
    <t>Criterio 75%</t>
  </si>
  <si>
    <t>Criterio 100%</t>
  </si>
  <si>
    <t>Foco de Gestión BCM</t>
  </si>
  <si>
    <t>PREGUNTAS POR DIMENSIONES</t>
  </si>
  <si>
    <t>Cuestionario de 20 preguntas (5 por dimensiones) con evaluación de nivel de cumplimiento.</t>
  </si>
  <si>
    <t>Impacto</t>
  </si>
  <si>
    <t>Criterio</t>
  </si>
  <si>
    <t>Cumplimiento legal, riesgo fatal o continuidad crítica</t>
  </si>
  <si>
    <t>Afecta objetivos estratégicos</t>
  </si>
  <si>
    <t>Impacto operacional moderado</t>
  </si>
  <si>
    <t>Impacto menor</t>
  </si>
  <si>
    <t>Impacto insignificante</t>
  </si>
  <si>
    <t>Esfuerzo</t>
  </si>
  <si>
    <t>Proyecto &gt;6 meses y alta inversión</t>
  </si>
  <si>
    <t>Proyecto de 3 a 6 meses</t>
  </si>
  <si>
    <t>Proyecto de 1 a 3 meses</t>
  </si>
  <si>
    <t>Implementación menor a 1 mes</t>
  </si>
  <si>
    <t>Acción inmediata o de muy bajo costo</t>
  </si>
  <si>
    <t>ID</t>
  </si>
  <si>
    <t>Actividad / Proyecto</t>
  </si>
  <si>
    <t>Responsable</t>
  </si>
  <si>
    <t>Impacto (1-5)</t>
  </si>
  <si>
    <t>Esfuerzo (1-5)</t>
  </si>
  <si>
    <t>Cuadrante</t>
  </si>
  <si>
    <t>Prioridad</t>
  </si>
  <si>
    <t>Interpretación de los cuadrantes</t>
  </si>
  <si>
    <t>Prioridad 1 (Quick Wins)</t>
  </si>
  <si>
    <t>Las tareas de alto impacto y bajo esfuerzo suelen ser las más deseables. Ofrecen beneficios significativos con relativamente poco esfuerzo.</t>
  </si>
  <si>
    <t>Acción recomendada:</t>
  </si>
  <si>
    <t>Ejecutar inmediatamente.</t>
  </si>
  <si>
    <t>Asignar recursos prioritarios.</t>
  </si>
  <si>
    <t>Utilizar para demostrar resultados rápidos.</t>
  </si>
  <si>
    <t>Prioridad 2 (Proyectos Estratégicos)</t>
  </si>
  <si>
    <t>Estas tareas generan beneficios importantes, pero requieren recursos, planificación y tiempo.</t>
  </si>
  <si>
    <t>Elaborar plan de trabajo.</t>
  </si>
  <si>
    <t>Definir responsable y presupuesto.</t>
  </si>
  <si>
    <t>Incorporar en el plan anual.</t>
  </si>
  <si>
    <t>Prioridad 3 (Tareas de apoyo)</t>
  </si>
  <si>
    <t>Son actividades simples que entregan beneficios menores.</t>
  </si>
  <si>
    <t>Delegar cuando sea posible.</t>
  </si>
  <si>
    <t>Ejecutar en tiempos disponibles.</t>
  </si>
  <si>
    <t>Mantener bajo control.</t>
  </si>
  <si>
    <t>Prioridad 4 (Reconsiderar)</t>
  </si>
  <si>
    <t>Son actividades que consumen recursos significativos y aportan poco valor.</t>
  </si>
  <si>
    <t>Evaluar necesidad real.</t>
  </si>
  <si>
    <t>Postergar o eliminar.</t>
  </si>
  <si>
    <t>Buscar alternativas más eficientes.</t>
  </si>
  <si>
    <r>
      <rPr>
        <b/>
        <sz val="18"/>
        <color rgb="FF00B050"/>
        <rFont val="Segoe UI"/>
        <family val="2"/>
      </rPr>
      <t>🟩</t>
    </r>
    <r>
      <rPr>
        <b/>
        <sz val="18"/>
        <color theme="1"/>
        <rFont val="Segoe UI"/>
        <family val="2"/>
      </rPr>
      <t xml:space="preserve"> Alto impacto y bajo esfuerzo</t>
    </r>
  </si>
  <si>
    <r>
      <rPr>
        <b/>
        <sz val="18"/>
        <color theme="6" tint="0.39997558519241921"/>
        <rFont val="Segoe UI"/>
        <family val="2"/>
      </rPr>
      <t>🟦</t>
    </r>
    <r>
      <rPr>
        <b/>
        <sz val="18"/>
        <color theme="1"/>
        <rFont val="Segoe UI"/>
        <family val="2"/>
      </rPr>
      <t xml:space="preserve"> Alto impacto y alto esfuerzo</t>
    </r>
  </si>
  <si>
    <r>
      <rPr>
        <b/>
        <sz val="18"/>
        <color rgb="FFFFFF00"/>
        <rFont val="Segoe UI"/>
        <family val="2"/>
      </rPr>
      <t>🟨</t>
    </r>
    <r>
      <rPr>
        <b/>
        <sz val="18"/>
        <color theme="1"/>
        <rFont val="Segoe UI"/>
        <family val="2"/>
      </rPr>
      <t xml:space="preserve"> Bajo impacto y bajo esfuerzo</t>
    </r>
  </si>
  <si>
    <t>Fecha</t>
  </si>
  <si>
    <t>Estatus</t>
  </si>
  <si>
    <t>MATRIZ DE PRIORIZACIÓN IMPACTO VS ESFUERZO</t>
  </si>
  <si>
    <t>Por Iniciar</t>
  </si>
  <si>
    <t>GRÁFICO MATRIZ DE PRIORIZACIÓN IMPACTO VS ESFUERZO</t>
  </si>
  <si>
    <r>
      <rPr>
        <b/>
        <sz val="18"/>
        <color theme="5" tint="0.39997558519241921"/>
        <rFont val="Segoe UI"/>
        <family val="2"/>
      </rPr>
      <t>🟥</t>
    </r>
    <r>
      <rPr>
        <b/>
        <sz val="18"/>
        <color theme="1"/>
        <rFont val="Segoe UI"/>
        <family val="2"/>
      </rPr>
      <t xml:space="preserve"> Bajo impacto y alto esfuerzo</t>
    </r>
  </si>
  <si>
    <t xml:space="preserve"> Elaborar Plan de Emergencias</t>
  </si>
  <si>
    <t xml:space="preserve"> Elaborar Cascada Comunicacional</t>
  </si>
  <si>
    <t>Implementar equipamiento Brigada Emergencias</t>
  </si>
  <si>
    <t>Capacitar a Jefaturas en Primeros Auxilios</t>
  </si>
  <si>
    <t>Respaldar información</t>
  </si>
  <si>
    <t>PRIORIDAD GENERAL SUGERIDA</t>
  </si>
  <si>
    <t>EVIDENCIA OBSERVADA</t>
  </si>
  <si>
    <t>EVIDENCIA OBSERVADA/ENTREVISTA</t>
  </si>
  <si>
    <t>OBSERVACIONES</t>
  </si>
  <si>
    <t>PRIORIDAD 1</t>
  </si>
  <si>
    <t>PRIORIDAD 2</t>
  </si>
  <si>
    <t>PRIORIDAD 3</t>
  </si>
  <si>
    <t>PRIORIDAD 4</t>
  </si>
  <si>
    <t>DISTRIBUCIÓN DE PRIORIDADES DE ACCIÓN DESDE MATRIZ</t>
  </si>
  <si>
    <t>Total</t>
  </si>
  <si>
    <t>Daniel Salzar</t>
  </si>
  <si>
    <t>Raúl Droguett</t>
  </si>
  <si>
    <t>Luis Pérez</t>
  </si>
  <si>
    <t>En Proceso</t>
  </si>
  <si>
    <t>Atrasada</t>
  </si>
  <si>
    <t>Finalizada</t>
  </si>
  <si>
    <t>Subdimensión</t>
  </si>
  <si>
    <t>Cód. sub</t>
  </si>
  <si>
    <t>Foco</t>
  </si>
  <si>
    <t>Punto de la cadena causal</t>
  </si>
  <si>
    <t>Riesgo</t>
  </si>
  <si>
    <t>Evento no deseado</t>
  </si>
  <si>
    <t>Control</t>
  </si>
  <si>
    <t>Propósito del control</t>
  </si>
  <si>
    <t>Evidencia posible (ejemplos)</t>
  </si>
  <si>
    <t>Tipo de evidencia</t>
  </si>
  <si>
    <t>Método de evaluación</t>
  </si>
  <si>
    <t>Nivel de evaluación</t>
  </si>
  <si>
    <t>Consecuencia potencial</t>
  </si>
  <si>
    <t>Tipo de control</t>
  </si>
  <si>
    <t>Responsabilidades, roles y rendición de cuentas</t>
  </si>
  <si>
    <t>S01.1</t>
  </si>
  <si>
    <t>Ambos</t>
  </si>
  <si>
    <t>Degradación de barreras</t>
  </si>
  <si>
    <t>Fatiga y/o somnolencia en persona expuesta a tarea crítica</t>
  </si>
  <si>
    <t>Persona fatigada o somnolienta permanece en tarea crítica sin ser detectada ni intervenida</t>
  </si>
  <si>
    <t>Responsabilidades frente a los riesgos críticos definidas, comprendidas y exigidas</t>
  </si>
  <si>
    <t>Que cada nivel sepa qué le corresponde frente a los riesgos críticos y responda por ello</t>
  </si>
  <si>
    <t>Responsabilidades de seguridad definidas por nivel</t>
  </si>
  <si>
    <t>¿En qué medida están definidas las responsabilidades frente a los riesgos críticos (incluidas la fatiga y la somnolencia) para cada nivel: gerencia, superintendencia, supervisión, despacho, trabajadores y contratistas, incluida la autoridad para detener una tarea o retirar a una persona?</t>
  </si>
  <si>
    <t>Ejemplos: descripciones de cargo, matrices de responsabilidades o instrucciones escritas; si no hay documentos, lo que declaran los responsables y lo que se observa</t>
  </si>
  <si>
    <t>Documental</t>
  </si>
  <si>
    <t>Revisión documental y entrevista</t>
  </si>
  <si>
    <t>Design</t>
  </si>
  <si>
    <t>Grave</t>
  </si>
  <si>
    <t>Administrativo</t>
  </si>
  <si>
    <t>Roles comprendidos en todos los niveles</t>
  </si>
  <si>
    <t>¿En qué medida las personas de distintos niveles describen correctamente qué les corresponde hacer frente a un riesgo crítico, por ejemplo ante un trabajador con signos de fatiga o somnolencia?</t>
  </si>
  <si>
    <t>Ejemplos: entrevistas breves a una muestra por nivel y turno (jefatura, supervisor, despachador, operador, contratista), comparando su respuesta con lo esperado</t>
  </si>
  <si>
    <t>Entrevista</t>
  </si>
  <si>
    <t>Entrevista estructurada</t>
  </si>
  <si>
    <t>Implementation</t>
  </si>
  <si>
    <t>Soporte</t>
  </si>
  <si>
    <t>Rendición de cuentas aplicada</t>
  </si>
  <si>
    <t>¿En qué medida el desempeño en seguridad de los responsables se revisa y tiene consecuencias en la práctica (reconocimiento, corrección, apoyo), y no solo el desempeño productivo?</t>
  </si>
  <si>
    <t>Ejemplos: evaluaciones de desempeño, revisiones de gestión, casos concretos en que se pidió cuenta por un incumplimiento o se reconoció una buena práctica</t>
  </si>
  <si>
    <t>Registro</t>
  </si>
  <si>
    <t>Reconstrucción de casos</t>
  </si>
  <si>
    <t>Functioning</t>
  </si>
  <si>
    <t>Compromiso visible de la dirección y de los líderes</t>
  </si>
  <si>
    <t>S01.2</t>
  </si>
  <si>
    <t>Exposición</t>
  </si>
  <si>
    <t>Liderazgo visible en seguridad</t>
  </si>
  <si>
    <t>Que la dirección y los líderes demuestren con acciones, no solo con declaraciones, que los riesgos críticos son prioridad</t>
  </si>
  <si>
    <t>Compromiso visible de la alta dirección</t>
  </si>
  <si>
    <t>¿En qué medida la alta dirección demuestra con acciones concretas su compromiso con la gestión de los riesgos críticos (presencia en terreno, asignación de recursos, participación en revisiones, decisiones que priorizan la seguridad)?</t>
  </si>
  <si>
    <t>Ejemplos: agenda de visitas a terreno, decisiones de recursos, actas o correos con decisiones; relato de trabajadores sobre la presencia de la dirección</t>
  </si>
  <si>
    <t>Entrevista y muestreo de registros</t>
  </si>
  <si>
    <t>Acciones visibles de los líderes en terreno</t>
  </si>
  <si>
    <t>¿En qué medida supervisores y jefaturas realizan acciones concretas y visibles de seguridad durante el turno (conversaciones de riesgo, verificación de controles, detención de trabajos inseguros, atención a la fatiga del equipo), incluido el turno de noche?</t>
  </si>
  <si>
    <t>Ejemplos: observación de al menos 2 turnos (día y noche), registros de interacciones, relato de trabajadores</t>
  </si>
  <si>
    <t>Observación en terreno</t>
  </si>
  <si>
    <t>Objetivos claros que incluyen la fatiga</t>
  </si>
  <si>
    <t>¿En qué medida la organización tiene objetivos claros y verificables para sus riesgos críticos, incluidas la fatiga y la somnolencia, y la línea de mando los conoce?</t>
  </si>
  <si>
    <t>Ejemplos: objetivos o metas escritos, planes de área, conocimiento de los objetivos por parte de las jefaturas entrevistadas</t>
  </si>
  <si>
    <t>Decisiones y planificación que consideran los riesgos críticos</t>
  </si>
  <si>
    <t>S01.3</t>
  </si>
  <si>
    <t>Pérdida de control de equipo móvil o vehículo (colisión, volcamiento, salida de vía)</t>
  </si>
  <si>
    <t>Riesgo crítico integrado en decisiones y planificación</t>
  </si>
  <si>
    <t>Que la fatiga y los demás riesgos críticos se consideren antes de decidir y planificar la operación</t>
  </si>
  <si>
    <t>Mecanismos para decidir considerando los riesgos críticos</t>
  </si>
  <si>
    <t>¿En qué medida existen instancias o criterios para tomar decisiones operacionales (cambios de turno, extensiones de jornada, programación de tareas críticas, metas de producción) considerando explícitamente los riesgos críticos?</t>
  </si>
  <si>
    <t>Ejemplos: reuniones de planificación con revisión de riesgos, criterios de autorización, listas de verificación de decisiones</t>
  </si>
  <si>
    <t>Seguridad integrada en la planificación real</t>
  </si>
  <si>
    <t>¿En qué medida la planificación diaria, semanal y de proyectos (por ejemplo, paradas de planta) incorpora en la práctica la dotación, los turnos y el control de la fatiga antes de comprometer metas o plazos?</t>
  </si>
  <si>
    <t>Ejemplos: muestra de planes y programas recientes comparados con la dotación y los turnos reales; entrevistas a planificadores y jefes de turno</t>
  </si>
  <si>
    <t>Fatal</t>
  </si>
  <si>
    <t>Revisión periódica de la dirección con datos</t>
  </si>
  <si>
    <t>¿En qué medida la dirección revisa periódicamente información sobre fatiga y riesgos críticos (exposición, alertas, eventos, desviaciones) y deja decisiones con responsable?</t>
  </si>
  <si>
    <t>Ejemplos: actas, presentaciones o correos de revisión con datos, decisiones y seguimiento</t>
  </si>
  <si>
    <t>Revisión documental y muestreo</t>
  </si>
  <si>
    <t>Verification</t>
  </si>
  <si>
    <t>Decisiones de la dirección con efecto medible</t>
  </si>
  <si>
    <t>¿En qué medida las decisiones tomadas sobre riesgos críticos se implementaron y muestran efecto en los resultados asociados (por ejemplo, menos turnos fuera de límite)?</t>
  </si>
  <si>
    <t>Ejemplos: comparación de datos antes y después de cada decisión, al menos 3 períodos</t>
  </si>
  <si>
    <t>Análisis de tendencia</t>
  </si>
  <si>
    <t>Análisis de datos</t>
  </si>
  <si>
    <t>Effectiveness</t>
  </si>
  <si>
    <t>Recursos para los controles disponibles en cada turno</t>
  </si>
  <si>
    <t>¿En qué medida los recursos necesarios para controlar la fatiga (relevos, tecnología, apoyo de salud) están disponibles en todos los turnos y no solo en el turno de día?</t>
  </si>
  <si>
    <t>Ejemplos: dotación de relevos por turno comparada con la necesaria; disponibilidad real de equipos y apoyo</t>
  </si>
  <si>
    <t>Comunicación entre niveles y participación de los trabajadores</t>
  </si>
  <si>
    <t>S01.4</t>
  </si>
  <si>
    <t>Deterioro del desempeño humano</t>
  </si>
  <si>
    <t>Canales de comunicación y participación</t>
  </si>
  <si>
    <t>Que la información de riesgo fluya en ambos sentidos y los trabajadores puedan plantear preocupaciones</t>
  </si>
  <si>
    <t>Comunicación efectiva entre niveles</t>
  </si>
  <si>
    <t>¿En qué medida la información sobre riesgos fluye en ambos sentidos entre la dirección, la supervisión y los trabajadores, y las preocupaciones planteadas reciben respuesta?</t>
  </si>
  <si>
    <t>Ejemplos: casos de preocupaciones planteadas y su respuesta; reuniones de turno observadas; relato de trabajadores y supervisores</t>
  </si>
  <si>
    <t>Entrevista y reconstrucción de casos</t>
  </si>
  <si>
    <t>Mecanismos de participación de los trabajadores</t>
  </si>
  <si>
    <t>¿En qué medida los trabajadores tienen y usan formas reales de participar y plantear preocupaciones sobre los riesgos (comités, reuniones, canales directos, participación en el diseño de turnos o tareas)?</t>
  </si>
  <si>
    <t>Ejemplos: actas o registros de participación; ejemplos concretos de cambios propuestos por trabajadores</t>
  </si>
  <si>
    <t>Seguimiento de desviaciones y aprendizaje organizacional</t>
  </si>
  <si>
    <t>S01.5</t>
  </si>
  <si>
    <t>Evento de alto potencial</t>
  </si>
  <si>
    <t>Corrección y aprendizaje</t>
  </si>
  <si>
    <t>Que desviaciones, incidentes y experiencias generen acciones, seguimiento y cambios</t>
  </si>
  <si>
    <t>Desviaciones que generan acción y seguimiento</t>
  </si>
  <si>
    <t>¿En qué medida los incumplimientos y desviaciones detectados (en inspecciones, verificaciones o reportes) generan acciones correctivas con responsable, plazo y seguimiento hasta su cierre?</t>
  </si>
  <si>
    <t>Ejemplos: muestra de desviaciones de los últimos 6 meses con su acción, responsable, plazo y estado</t>
  </si>
  <si>
    <t>Muestreo de registros</t>
  </si>
  <si>
    <t>Aprendizaje que produce cambios</t>
  </si>
  <si>
    <t>¿En qué medida lo aprendido de incidentes, errores, eventos y experiencias operacionales se traduce en cambios concretos en la forma de trabajar, verificados en terreno, y no solo en comunicados?</t>
  </si>
  <si>
    <t>Ejemplos: lista de cambios derivados de eventos y su verificación; comparación antes y después en las áreas involucradas</t>
  </si>
  <si>
    <t>Muestreo de registros y observación</t>
  </si>
  <si>
    <t>Gestión de la fatiga en empresas contratistas</t>
  </si>
  <si>
    <t>S01.6</t>
  </si>
  <si>
    <t>Requisitos de fatiga para contratistas</t>
  </si>
  <si>
    <t>Extender los controles a toda persona expuesta, independiente del empleador</t>
  </si>
  <si>
    <t>Requisitos de fatiga para contratistas de tareas críticas</t>
  </si>
  <si>
    <t>¿En qué medida las empresas contratistas que ejecutan tareas críticas están sujetas a requisitos de fatiga equivalentes a los del personal propio (límites de jornada, evaluación de aptitud, respuesta a alertas)?</t>
  </si>
  <si>
    <t>Ejemplos: cláusulas de contratos, anexos de seguridad, instrucciones a contratistas</t>
  </si>
  <si>
    <t>Revisión documental</t>
  </si>
  <si>
    <t>Jornadas de contratistas verificadas con datos</t>
  </si>
  <si>
    <t>¿En qué medida se verifica con datos (control de acceso, registros de turnos) que los contratistas cumplen los límites de jornada y descanso?</t>
  </si>
  <si>
    <t>Ejemplos: cruce de control de acceso con los límites, por empresa, últimos 3 meses</t>
  </si>
  <si>
    <t>Datos de sistema</t>
  </si>
  <si>
    <t>Tareas críticas y población expuesta</t>
  </si>
  <si>
    <t>S02.1</t>
  </si>
  <si>
    <t>Inventario de tareas críticas sensibles a fatiga</t>
  </si>
  <si>
    <t>Saber quién está expuesto, dónde y cuándo</t>
  </si>
  <si>
    <t>Tareas críticas y población expuesta identificadas</t>
  </si>
  <si>
    <t>¿En qué medida la organización sabe qué tareas y cargos son sensibles a la fatiga o la somnolencia (equipos móviles, aislamiento, izaje, conducción, operación de planta) y cuántas personas están expuestas en cada turno?</t>
  </si>
  <si>
    <t>Ejemplos: listado de tareas o cargos críticos con dotación por turno; si no existe, lo que pueden indicar las jefaturas</t>
  </si>
  <si>
    <t>Identificación usada para asignar controles</t>
  </si>
  <si>
    <t>¿En qué medida esa identificación se usa para decidir quién requiere evaluación antes del turno o monitoreo, y coincide con la dotación real?</t>
  </si>
  <si>
    <t>Ejemplos: cruce entre el listado de cargos críticos, la nómina y los turnos; diferencias encontradas</t>
  </si>
  <si>
    <t>Evaluación de riesgos y bow-tie</t>
  </si>
  <si>
    <t>S02.2</t>
  </si>
  <si>
    <t>Fatiga o somnolencia</t>
  </si>
  <si>
    <t>Bow-tie de fatiga y somnolencia</t>
  </si>
  <si>
    <t>Identificar causas, consecuencias y barreras diferenciando fatiga de somnolencia</t>
  </si>
  <si>
    <t>Análisis de riesgo que diferencia fatiga y somnolencia</t>
  </si>
  <si>
    <t>¿En qué medida el análisis de riesgo distingue las causas de fatiga (carga, duración de la tarea, recuperación) de las causas de somnolencia (deuda de sueño, ventana circadiana, trastornos del sueño) e identifica las barreras críticas y sus responsables (por ejemplo, con un bow-tie)?</t>
  </si>
  <si>
    <t>Ejemplos: análisis de riesgo, bow-tie o matriz de riesgos con barreras y responsables</t>
  </si>
  <si>
    <t>Crítico</t>
  </si>
  <si>
    <t>Análisis de riesgo validado en terreno y actualizado</t>
  </si>
  <si>
    <t>¿En qué medida el análisis de riesgo se revisó en terreno con operadores y supervisores en los últimos 12 meses y se actualiza después de incidentes o cambios?</t>
  </si>
  <si>
    <t>Ejemplos: registro de la revisión con participantes; versión actualizada</t>
  </si>
  <si>
    <t>Riesgo residual sustentado en datos</t>
  </si>
  <si>
    <t>¿En qué medida la estimación del riesgo que queda de fatiga se apoya en datos de exposición y de funcionamiento de los controles, y no solo en juicio experto, y muestra su evolución?</t>
  </si>
  <si>
    <t>Ejemplos: evaluación con datos de exposición, alertas e incidentes; serie de al menos 3 períodos</t>
  </si>
  <si>
    <t>Gestión del cambio y condiciones anómalas</t>
  </si>
  <si>
    <t>S02.3</t>
  </si>
  <si>
    <t>Fatiga</t>
  </si>
  <si>
    <t>Fatiga (disminución de capacidad física o mental) en persona expuesta a tarea crítica</t>
  </si>
  <si>
    <t>Evaluación de impacto en fatiga ante cambios</t>
  </si>
  <si>
    <t>Evitar que cambios de roster, dotación, flota o procesos aumenten la exposición sin control</t>
  </si>
  <si>
    <t>Cambios evaluados considerando la fatiga</t>
  </si>
  <si>
    <t>¿En qué medida los cambios de roster, dotación, flota, rutas o proyectos (por ejemplo, paradas de planta) se evalúan considerando su efecto en la fatiga y la somnolencia antes de aplicarlos?</t>
  </si>
  <si>
    <t>Ejemplos: criterio o lista de verificación de gestión del cambio que incluya la fatiga</t>
  </si>
  <si>
    <t>Evaluación de fatiga aplicada a cambios reales</t>
  </si>
  <si>
    <t>En los cambios relevantes de los últimos 12 meses (incluidas paradas de planta), ¿en qué medida se evaluó la fatiga antes de implementarlos?</t>
  </si>
  <si>
    <t>Ejemplos: muestra de al menos 3 cambios o paradas con su evaluación</t>
  </si>
  <si>
    <t>Controles que se mantienen en condiciones anómalas</t>
  </si>
  <si>
    <t>Durante paradas de planta, contingencias, ausentismo alto o emergencias, ¿en qué medida se mantienen los límites de jornada y los controles críticos, o se aplican excepciones autorizadas con controles compensatorios verificados?</t>
  </si>
  <si>
    <t>Ejemplos: datos de jornada y alertas en eventos anómalos comparados con la operación normal; excepciones autorizadas</t>
  </si>
  <si>
    <t>Resilience</t>
  </si>
  <si>
    <t>Investigación de incidentes con factor fatiga</t>
  </si>
  <si>
    <t>S02.4</t>
  </si>
  <si>
    <t>Investigación estructurada de fatiga</t>
  </si>
  <si>
    <t>Detectar la fatiga o somnolencia como factor contribuyente y aprender</t>
  </si>
  <si>
    <t>Investigación con variables objetivas de fatiga</t>
  </si>
  <si>
    <t>¿En qué medida la forma de investigar incidentes exige considerar la fatiga y la somnolencia con datos objetivos (horas despierto, sueño en 24 y 48 h, hora del evento respecto a la ventana circadiana, duración del turno, alertas previas)?</t>
  </si>
  <si>
    <t>Ejemplos: procedimiento o formulario de investigación con campos de fatiga</t>
  </si>
  <si>
    <t>Fatiga evaluada en investigaciones reales</t>
  </si>
  <si>
    <t>En las investigaciones de incidentes de alto potencial de los últimos 12 meses, ¿en qué medida se evaluó la fatiga con esos datos y se buscaron causas del sistema, no solo la conducta individual?</t>
  </si>
  <si>
    <t>Ejemplos: muestra de al menos 5 investigaciones, o todas si son menos</t>
  </si>
  <si>
    <t>Acciones de investigaciones sin recurrencia</t>
  </si>
  <si>
    <t>¿En qué medida las acciones derivadas de investigaciones con factor fatiga resultaron efectivas, sin repetición del mismo tipo de falla en los 6 meses siguientes?</t>
  </si>
  <si>
    <t>Ejemplos: seguimiento de acciones con verificación de efectividad; análisis de repetición</t>
  </si>
  <si>
    <t>Diseño de rosters basado en fatiga</t>
  </si>
  <si>
    <t>S03.1</t>
  </si>
  <si>
    <t>Diseño de sistemas de turno con criterios de fatiga</t>
  </si>
  <si>
    <t>Limitar la exposición por duración, secuencia de noches y oportunidad de sueño</t>
  </si>
  <si>
    <t>Criterios de fatiga en el diseño de turnos</t>
  </si>
  <si>
    <t>¿En qué medida los sistemas de turno se diseñan con criterios explícitos de fatiga (duración máxima, noches consecutivas, rotación, descanso entre ciclos, oportunidad de sueño) y con un método de evaluación declarado?</t>
  </si>
  <si>
    <t>Ejemplos: criterios de diseño de turnos; evaluación del roster con el método usado</t>
  </si>
  <si>
    <t>Rosters programados dentro de criterios</t>
  </si>
  <si>
    <t>¿En qué medida los rosters programados en todas las áreas expuestas respetan esos criterios?</t>
  </si>
  <si>
    <t>Ejemplos: rosters de las áreas expuestas comparados con los criterios; % de conformidad</t>
  </si>
  <si>
    <t>Turnos trabajados dentro de límites</t>
  </si>
  <si>
    <t>¿En qué medida los turnos realmente trabajados (control de acceso o asistencia) coinciden con los programados y respetan los límites, sin desviaciones repetidas?</t>
  </si>
  <si>
    <t>Ejemplos: cruce de asistencia con la programación de los últimos 3 meses; % de turnos fuera de límite (X01)</t>
  </si>
  <si>
    <t>Somnolencia</t>
  </si>
  <si>
    <t>Somnolencia o microsueño en persona que opera equipo o ejecuta tarea crítica</t>
  </si>
  <si>
    <t>Roster ajustado según patrones de somnolencia</t>
  </si>
  <si>
    <t>¿En qué medida se analiza la relación entre el diseño del roster (noche 1 frente a noche 4, horas en ventana circadiana) y las alertas de somnolencia, y se ajusta el roster con efecto medido cuando aparecen patrones?</t>
  </si>
  <si>
    <t>Ejemplos: análisis de alertas por día de ciclo y hora; ajustes realizados y su efecto</t>
  </si>
  <si>
    <t>Participación de trabajadores en el diseño de turnos</t>
  </si>
  <si>
    <t>¿En qué medida los trabajadores expuestos participan en el diseño y la revisión de los sistemas de turno (consultas, comités, pilotos)?</t>
  </si>
  <si>
    <t>Ejemplos: registros de consulta o comités con participación de trabajadores; relato de trabajadores</t>
  </si>
  <si>
    <t>Horas extra, extensiones y llamados</t>
  </si>
  <si>
    <t>S03.2</t>
  </si>
  <si>
    <t>Límites y autorización de horas extra y extensiones</t>
  </si>
  <si>
    <t>Evitar la acumulación de deuda de sueño por jornadas extendidas</t>
  </si>
  <si>
    <t>Límites de horas extra, extensiones y llamados</t>
  </si>
  <si>
    <t>¿En qué medida hay límites claros de horas extra, extensión de turno, llamados y horas máximas por período, con autorización escalonada y controles compensatorios?</t>
  </si>
  <si>
    <t>Ejemplos: límites escritos o instrucciones; casos de autorización</t>
  </si>
  <si>
    <t>Extensiones autorizadas antes de ocurrir</t>
  </si>
  <si>
    <t>¿En qué medida las extensiones de jornada sobre el límite se autorizan antes de ocurrir y se acompañan de controles compensatorios (evaluación de aptitud, restricción de tareas)?</t>
  </si>
  <si>
    <t>Ejemplos: muestra de al menos 20 extensiones con su autorización previa y control compensatorio</t>
  </si>
  <si>
    <t>Seguimiento de horas acumuladas</t>
  </si>
  <si>
    <t>¿En qué medida existe un seguimiento, idealmente automático, que avise a la supervisión cuando una persona se acerca o supera los límites de horas, con evidencia de que se actúa?</t>
  </si>
  <si>
    <t>Ejemplos: reportes o avisos del sistema de asistencia y su gestión</t>
  </si>
  <si>
    <t>Prueba del control</t>
  </si>
  <si>
    <t>Descanso inter-turno y traslados</t>
  </si>
  <si>
    <t>S03.3</t>
  </si>
  <si>
    <t>Accidente vehicular en traslado post-turno</t>
  </si>
  <si>
    <t>Oportunidad de sueño y gestión del traslado</t>
  </si>
  <si>
    <t>Asegurar descanso suficiente y controlar el riesgo de traslado post-turno</t>
  </si>
  <si>
    <t>Riesgo de traslado post-turno evaluado</t>
  </si>
  <si>
    <t>¿En qué medida se evaluó el riesgo del traslado después del turno (distancia, duración, conducción propia o bus, salida de turno de noche) y se definieron controles (transporte provisto, pausas, no conducir tras turno de noche)?</t>
  </si>
  <si>
    <t>Ejemplos: evaluación del riesgo del traslado; reglas de transporte</t>
  </si>
  <si>
    <t>Controles de traslado aplicados</t>
  </si>
  <si>
    <t>¿En qué medida los controles de traslado se aplican en la práctica (por ejemplo, % de trabajadores de turno de noche que usan el transporte provisto, conductores de bus evaluados)?</t>
  </si>
  <si>
    <t>Ejemplos: registros de transporte; evaluaciones de conductores; observación en la salida de turno</t>
  </si>
  <si>
    <t>Descanso mínimo entre turnos cumplido</t>
  </si>
  <si>
    <t>¿En qué medida se cumple en la programación real un descanso mínimo entre turnos, descontando traslado y alimentación?</t>
  </si>
  <si>
    <t>Ejemplos: cálculo del descanso entre turnos con datos de asistencia y traslado (X04)</t>
  </si>
  <si>
    <t>Evaluación de aptitud pre-turno</t>
  </si>
  <si>
    <t>S04.1</t>
  </si>
  <si>
    <t>Evaluación pre-turno de aptitud (fit for work)</t>
  </si>
  <si>
    <t>Impedir que una persona con fatiga o somnolencia inicie una tarea crítica</t>
  </si>
  <si>
    <t>Evaluación antes del turno con criterios objetivos</t>
  </si>
  <si>
    <t>¿En qué medida la evaluación de aptitud antes del turno usa preguntas o mediciones objetivas (horas de sueño en 24 y 48 h, horas despierto, síntomas), umbrales de decisión y acciones definidas (apto, apto con restricción, no apto)?</t>
  </si>
  <si>
    <t>Ejemplos: formulario o instrucción con umbrales y decisiones; si es informal, cómo lo hacen los supervisores</t>
  </si>
  <si>
    <t>Cobertura total de la evaluación antes del turno</t>
  </si>
  <si>
    <t>¿En qué medida la evaluación antes del turno se aplica a todo el personal en tareas críticas, en todos los turnos (incluidas noches y fines de semana) y a contratistas?</t>
  </si>
  <si>
    <t>Ejemplos: registros de evaluación comparados con la dotación por turno; % de cobertura (L01)</t>
  </si>
  <si>
    <t>Acción aplicada cuando se detecta riesgo</t>
  </si>
  <si>
    <t>Cuando la evaluación antes del turno detecta riesgo, ¿en qué medida se aplica efectivamente la acción que corresponde (restricción, reasignación, no inicio)?</t>
  </si>
  <si>
    <t>Ejemplos: muestra de evaluaciones con riesgo y la acción aplicada; tasa de coherencia</t>
  </si>
  <si>
    <t>Verificación independiente de la evaluación antes del turno</t>
  </si>
  <si>
    <t>¿En qué medida un tercero (jefatura superior o área de seguridad) verifica periódicamente, observando directamente, la calidad de las evaluaciones antes del turno?</t>
  </si>
  <si>
    <t>Ejemplos: registros de verificación por observación</t>
  </si>
  <si>
    <t>Capacidad predictiva de la evaluación antes del turno</t>
  </si>
  <si>
    <t>¿En qué medida se analiza si las personas identificadas en riesgo antes del turno concentran después más alertas o eventos, y se usa para ajustar los umbrales?</t>
  </si>
  <si>
    <t>Ejemplos: análisis cruzado de evaluaciones con alertas y eventos, al menos 3 meses</t>
  </si>
  <si>
    <t>Prueba objetiva de alerta usada como complemento</t>
  </si>
  <si>
    <t>Si la faena usa pupilometría u otra prueba objetiva de alerta, ¿en qué medida están claros su validez para el uso, el umbral y su papel como complemento (no reemplazo) del juicio del supervisor?</t>
  </si>
  <si>
    <t>Ejemplos: especificación del método, umbral y validación del uso local. Marcar Aplica = No si no se usa ninguna prueba</t>
  </si>
  <si>
    <t>Resultados fuera de umbral intervenidos</t>
  </si>
  <si>
    <t>¿En qué medida los resultados fuera de umbral de la prueba objetiva generan una intervención registrada antes de iniciar la tarea?</t>
  </si>
  <si>
    <t>Ejemplos: resultados fuera de umbral con su intervención</t>
  </si>
  <si>
    <t>Auto-reporte de fatiga sin represalia en uso</t>
  </si>
  <si>
    <t>¿En qué medida las personas pueden declarar "no estoy apto por fatiga" sin consecuencias punitivas, y efectivamente lo hacen en distintas áreas y turnos?</t>
  </si>
  <si>
    <t>Ejemplos: registros de auto-reportes (L10); casos y su tratamiento; entrevistas</t>
  </si>
  <si>
    <t>Muestreo de registros y entrevista</t>
  </si>
  <si>
    <t>Supervisión e interacción en terreno</t>
  </si>
  <si>
    <t>S04.2</t>
  </si>
  <si>
    <t>Monitoreo de supervisión durante el turno</t>
  </si>
  <si>
    <t>Detectar signos de fatiga durante el turno</t>
  </si>
  <si>
    <t>Guía de signos de fatiga para supervisores</t>
  </si>
  <si>
    <t>¿En qué medida los supervisores cuentan con una guía clara para reconocer signos de fatiga y somnolencia y saber qué hacer en cada caso?</t>
  </si>
  <si>
    <t>Ejemplos: lista de verificación o guía; lo que los supervisores dicen usar</t>
  </si>
  <si>
    <t>Interacciones en horario crítico que generan acción</t>
  </si>
  <si>
    <t>¿En qué medida los supervisores conversan con su equipo sobre fatiga en terreno en horario crítico (02:00–06:00) y actúan cuando observan signos?</t>
  </si>
  <si>
    <t>Ejemplos: registros de interacciones por horario; casos con acción; observación</t>
  </si>
  <si>
    <t>Contenido específico de fatiga en charlas de inicio de turno</t>
  </si>
  <si>
    <t>¿En qué medida la fatiga y la somnolencia se tratan en las charlas de inicio de turno con contenido específico (noche 1, retorno de descanso) y no solo como mención genérica?</t>
  </si>
  <si>
    <t>Ejemplos: registros de charlas; observación de 3 charlas</t>
  </si>
  <si>
    <t>Moderado</t>
  </si>
  <si>
    <t>Relevos y retiro de tarea crítica</t>
  </si>
  <si>
    <t>S04.3</t>
  </si>
  <si>
    <t>Gestión de relevos y retiro de tarea</t>
  </si>
  <si>
    <t>Retirar efectivamente a la persona de la exposición</t>
  </si>
  <si>
    <t>Relevos previstos para tareas críticas</t>
  </si>
  <si>
    <t>¿En qué medida está previsto, por área y turno, quién reemplaza a una persona en una tarea crítica, incluido el turno de noche?</t>
  </si>
  <si>
    <t>Ejemplos: plan o lista de relevos con dotación disponible por turno; si no existe, cómo se resuelve hoy</t>
  </si>
  <si>
    <t>Retiro de la tarea dentro del tiempo objetivo</t>
  </si>
  <si>
    <t>Ante una persona evaluada como no apta durante el turno, ¿en qué medida se concreta el retiro de la tarea crítica dentro de un tiempo razonable y definido?</t>
  </si>
  <si>
    <t>Ejemplos: casos de retiro con tiempos desde la alerta hasta el retiro; muestra de al menos 20 casos</t>
  </si>
  <si>
    <t>Prueba periódica de la disponibilidad de relevo</t>
  </si>
  <si>
    <t>¿En qué medida se comprueba periódicamente (simulacros o verificaciones no anunciadas) que el relevo está disponible en el turno de noche?</t>
  </si>
  <si>
    <t>Ejemplos: registros de pruebas y resultados</t>
  </si>
  <si>
    <t>Muestreo o prueba</t>
  </si>
  <si>
    <t>Retiro que se mantiene con dotación reducida</t>
  </si>
  <si>
    <t>Con dotación reducida (ausentismo, vacaciones, contingencia), ¿en qué medida el retiro de la tarea se mantiene aun cuando implique detener el equipo?</t>
  </si>
  <si>
    <t>Ejemplos: casos con dotación reducida y decisiones tomadas; detenciones de equipo por fatiga</t>
  </si>
  <si>
    <t>Planificación de tareas críticas</t>
  </si>
  <si>
    <t>S04.4</t>
  </si>
  <si>
    <t>Error u omisión en tarea crítica (aislamiento, izaje, operación de planta) por desempeño degradado</t>
  </si>
  <si>
    <t>Planificación de tareas críticas considerando fatiga</t>
  </si>
  <si>
    <t>Evitar programar tareas de alto riesgo en condiciones de máxima vulnerabilidad</t>
  </si>
  <si>
    <t>Restricciones en ventana circadiana</t>
  </si>
  <si>
    <t>¿En qué medida se evita programar tareas de alto riesgo en la ventana circadiana baja (aprox. 02:00–06:00) o tras jornadas extendidas (por ejemplo, izajes críticos, operación sin asistencia)?</t>
  </si>
  <si>
    <t>Ejemplos: reglas de programación; programas de tareas revisados</t>
  </si>
  <si>
    <t>Restricciones aplicadas en la programación</t>
  </si>
  <si>
    <t>¿En qué medida esas restricciones se respetan en la programación real y en los registros de despacho?</t>
  </si>
  <si>
    <t>Ejemplos: programación de tareas y registros de despacho comparados con las restricciones</t>
  </si>
  <si>
    <t>Detección de somnolencia en tiempo real</t>
  </si>
  <si>
    <t>S05.1</t>
  </si>
  <si>
    <t>Tecnología de detección (SmartCap, DSS u otra)</t>
  </si>
  <si>
    <t>Detectar somnolencia o microsueño antes de la pérdida de control</t>
  </si>
  <si>
    <t>Alcance de la detección definido por riesgo</t>
  </si>
  <si>
    <t>¿En qué medida está definido, según el riesgo, qué equipos y tareas requieren detección de somnolencia en tiempo real?</t>
  </si>
  <si>
    <t>Ejemplos: definición del alcance por flota o tarea y su justificación. Si no existe tecnología, registrar Existencia = No</t>
  </si>
  <si>
    <t>Tecnología en uso y operativa (no solo instalada)</t>
  </si>
  <si>
    <t>¿En qué medida los equipos en alcance operan con el dispositivo de detección en uso y funcionando (L08)?</t>
  </si>
  <si>
    <t>Ejemplos: datos del sistema con horas con dispositivo activo sobre horas operadas</t>
  </si>
  <si>
    <t>Alertas transmitidas a tiempo</t>
  </si>
  <si>
    <t>¿En qué medida las alertas llegan al centro de monitoreo o despacho y al supervisor en el tiempo esperado, sin pérdidas de comunicación relevantes?</t>
  </si>
  <si>
    <t>Ejemplos: trazabilidad de alertas (generación, recepción y demora); % de alertas recibidas</t>
  </si>
  <si>
    <t>Respuesta e intervención frente a alertas</t>
  </si>
  <si>
    <t>S05.2</t>
  </si>
  <si>
    <t>Protocolo de intervención frente a alertas</t>
  </si>
  <si>
    <t>Convertir la detección en intervención que retire a la persona de la exposición</t>
  </si>
  <si>
    <t>Respuesta a alertas definida por nivel</t>
  </si>
  <si>
    <t>¿En qué medida está definido, según el tipo y la gravedad de la alerta, quién responde, en qué tiempo y con qué acción (contacto, detención segura, evaluación, pausa, relevo, retiro)?</t>
  </si>
  <si>
    <t>Ejemplos: instrucción o matriz alerta-acción-tiempo; si es informal, cómo responden hoy despacho y supervisión</t>
  </si>
  <si>
    <t>Alertas intervenidas dentro del tiempo objetivo</t>
  </si>
  <si>
    <t>¿En qué medida las alertas de alto nivel se intervienen dentro del tiempo definido, considerando todas las alertas, incluida la noche (L02)?</t>
  </si>
  <si>
    <t>Ejemplos: trazabilidad alerta-intervención con tiempos</t>
  </si>
  <si>
    <t>Calidad real de la intervención verificada</t>
  </si>
  <si>
    <t>¿En qué medida se verifica en una muestra de alertas que la intervención fue adecuada (la persona no siguió en la tarea crítica sin evaluación), y no solo que la alerta se "cerró" en el sistema?</t>
  </si>
  <si>
    <t>Ejemplos: revisión de una muestra de alertas cerradas comparando la acción real con la registrada (R03)</t>
  </si>
  <si>
    <t>Menor recurrencia de alertas tras intervención</t>
  </si>
  <si>
    <t>Tras una intervención, ¿en qué medida disminuye la repetición de alertas en la misma persona o turno, y la tasa de microsueños por 1.000 h baja (X05)?</t>
  </si>
  <si>
    <t>Ejemplos: serie de alertas por persona y tasa por 1.000 h, al menos 6 meses</t>
  </si>
  <si>
    <t>Respuesta sostenida con alta carga de alertas</t>
  </si>
  <si>
    <t>¿En qué medida la respuesta se mantiene en períodos de alta carga (alertas simultáneas, cambios de turno, contingencias)?</t>
  </si>
  <si>
    <t>Ejemplos: tiempos de respuesta separados por carga de alertas</t>
  </si>
  <si>
    <t>Ventana circadiana y diferenciación fatiga/somnolencia</t>
  </si>
  <si>
    <t>S05.3</t>
  </si>
  <si>
    <t>Gestión de la ventana circadiana baja</t>
  </si>
  <si>
    <t>Reducir la probabilidad de somnolencia en horarios de máxima vulnerabilidad</t>
  </si>
  <si>
    <t>Menos alertas en ventana circadiana baja</t>
  </si>
  <si>
    <t>¿En qué medida la tasa de alertas de somnolencia en la ventana circadiana baja disminuye tras las medidas aplicadas?</t>
  </si>
  <si>
    <t>Ejemplos: serie de alertas por hora del día, al menos 6 meses</t>
  </si>
  <si>
    <t>Acciones diferenciadas para fatiga y somnolencia</t>
  </si>
  <si>
    <t>¿En qué medida se distingue en la práctica la respuesta ante somnolencia (riesgo inminente de microsueño: detención inmediata) de la respuesta ante fatiga (capacidad reducida: pausa, rotación de tarea)?</t>
  </si>
  <si>
    <t>Ejemplos: instrucciones con acciones diferenciadas; respuestas de supervisores entrevistados</t>
  </si>
  <si>
    <t>Pausas y contramedidas durante el turno</t>
  </si>
  <si>
    <t>S05.4</t>
  </si>
  <si>
    <t>Pausas activas y siestas estratégicas en turno</t>
  </si>
  <si>
    <t>Recuperar el estado de alerta durante el turno</t>
  </si>
  <si>
    <t>Pausas y siestas en turno con criterio técnico</t>
  </si>
  <si>
    <t>¿En qué medida las pausas y, cuando corresponda, las siestas estratégicas en turno tienen criterios claros (duración, momento, inercia del sueño, lugar)?</t>
  </si>
  <si>
    <t>Ejemplos: criterios escritos o prácticas acordadas; lo que relatan supervisores y trabajadores</t>
  </si>
  <si>
    <t>Uso real de pausas y salas de recuperación</t>
  </si>
  <si>
    <t>¿En qué medida las pausas y salas de recuperación se usan según lo previsto y están disponibles cerca de las áreas de trabajo?</t>
  </si>
  <si>
    <t>Ejemplos: registros de uso por turno; observación; distancias</t>
  </si>
  <si>
    <t>Screening de trastornos del sueño</t>
  </si>
  <si>
    <t>S06.1</t>
  </si>
  <si>
    <t>Programa de detección de trastornos del sueño</t>
  </si>
  <si>
    <t>Identificar personas con trastornos que generan somnolencia (p. ej., apnea obstructiva)</t>
  </si>
  <si>
    <t>Detección de trastornos del sueño con instrumento validado</t>
  </si>
  <si>
    <t>¿En qué medida se buscan trastornos del sueño en cargos críticos con un instrumento validado y criterios de derivación?</t>
  </si>
  <si>
    <t>Ejemplos: programa o práctica médica con instrumento, criterios y derivación</t>
  </si>
  <si>
    <t>Cobertura de la detección en cargos críticos</t>
  </si>
  <si>
    <t>¿En qué medida los trabajadores de cargos críticos tienen esa evaluación vigente (L06)?</t>
  </si>
  <si>
    <t>Ejemplos: registros médicos agregados, respetando la confidencialidad</t>
  </si>
  <si>
    <t>Tratamiento, seguimiento y aptitud</t>
  </si>
  <si>
    <t>S06.2</t>
  </si>
  <si>
    <t>Seguimiento y aptitud de casos positivos</t>
  </si>
  <si>
    <t>Asegurar tratamiento y aptitud antes de volver a tarea crítica</t>
  </si>
  <si>
    <t>Casos positivos tratados y con aptitud determinada</t>
  </si>
  <si>
    <t>¿En qué medida los casos positivos se derivan, confirman y tratan, se determina su aptitud para tareas críticas y se sigue la adherencia al tratamiento (L07)?</t>
  </si>
  <si>
    <t>Ejemplos: registros agregados de derivación, aptitud y adherencia</t>
  </si>
  <si>
    <t>Efecto del tratamiento en las alertas</t>
  </si>
  <si>
    <t>¿En qué medida se observa una reducción de alertas de somnolencia en personas tratadas respecto de su situación anterior, en análisis agregado y anónimo?</t>
  </si>
  <si>
    <t>Ejemplos: análisis anónimo antes y después del tratamiento</t>
  </si>
  <si>
    <t>Medicamentos y condiciones de salud</t>
  </si>
  <si>
    <t>S06.3</t>
  </si>
  <si>
    <t>Gestión de medicamentos sedantes y condiciones de salud</t>
  </si>
  <si>
    <t>Evitar somnolencia inducida por fármacos o enfermedad</t>
  </si>
  <si>
    <t>Declaración confidencial de medicamentos</t>
  </si>
  <si>
    <t>¿En qué medida las personas pueden declarar en forma confidencial medicamentos o condiciones que afecten la vigilia, y se evalúa su aptitud para tareas críticas?</t>
  </si>
  <si>
    <t>Ejemplos: procedimiento médico o práctica del policlínico; registros agregados</t>
  </si>
  <si>
    <t>Declaración conocida y usada</t>
  </si>
  <si>
    <t>¿En qué medida los trabajadores conocen esa posibilidad y existen declaraciones registradas?</t>
  </si>
  <si>
    <t>Ejemplos: registros agregados; entrevistas</t>
  </si>
  <si>
    <t>Identificación y definición de controles críticos</t>
  </si>
  <si>
    <t>S07.1</t>
  </si>
  <si>
    <t>Definición de controles críticos de fatiga</t>
  </si>
  <si>
    <t>Establecer qué controles son críticos, su estándar de desempeño y su dueño</t>
  </si>
  <si>
    <t>Controles críticos definidos con estándar y responsable</t>
  </si>
  <si>
    <t>¿En qué medida está claro cuáles son los controles críticos de fatiga y somnolencia y, para cada uno, su objetivo, el desempeño esperado, cómo saber si funciona, su responsable y qué hacer si falla (hoja 05)?</t>
  </si>
  <si>
    <t>Ejemplos: fichas de controles o equivalentes; si no existen, lo que responden los responsables</t>
  </si>
  <si>
    <t>Responsables de controles críticos activos</t>
  </si>
  <si>
    <t>¿En qué medida los responsables de los controles críticos conocen su rol y ejecutan lo que les corresponde (revisar verificaciones, decidir ante desviaciones)?</t>
  </si>
  <si>
    <t>Ejemplos: entrevistas a responsables; registros de revisión</t>
  </si>
  <si>
    <t>Verificación de controles críticos</t>
  </si>
  <si>
    <t>S07.2</t>
  </si>
  <si>
    <t>Programa de verificación (assurance) de CC</t>
  </si>
  <si>
    <t>Confirmar con evidencia que los CC funcionan como fueron diseñados</t>
  </si>
  <si>
    <t>Verificaciones de controles ejecutadas y en terreno</t>
  </si>
  <si>
    <t>¿En qué medida los controles críticos se verifican con la frecuencia prevista (L04) e incluyen verificación en terreno, no solo documental?</t>
  </si>
  <si>
    <t>Ejemplos: programa de verificación comparado con lo ejecutado; muestra de verificaciones</t>
  </si>
  <si>
    <t>Verificaciones que miran el desempeño</t>
  </si>
  <si>
    <t>¿En qué medida las verificaciones preguntan si el control funcionó y generan hallazgos cuando corresponde (tasa de verificaciones con hallazgo mayor que cero)?</t>
  </si>
  <si>
    <t>Ejemplos: muestra de formularios de verificación; tasa de hallazgos</t>
  </si>
  <si>
    <t>Desempeño de controles analizado en el tiempo</t>
  </si>
  <si>
    <t>¿En qué medida el desempeño de los controles críticos se analiza como tendencia y se relaciona con alertas e incidentes?</t>
  </si>
  <si>
    <t>Ejemplos: tendencia de cumplimiento de controles, al menos 6 meses, y análisis de relación</t>
  </si>
  <si>
    <t>Desviaciones y pérdida de control</t>
  </si>
  <si>
    <t>S07.3</t>
  </si>
  <si>
    <t>Pérdida del control</t>
  </si>
  <si>
    <t>Respuesta a desviaciones de CC</t>
  </si>
  <si>
    <t>Restablecer el control antes de que se materialice el evento</t>
  </si>
  <si>
    <t>Respuesta inmediata ante desviaciones de controles</t>
  </si>
  <si>
    <t>Ante una desviación de un control crítico, ¿en qué medida se aplicó la acción inmediata que correspondía (detención, control compensatorio) en un tiempo razonable?</t>
  </si>
  <si>
    <t>Ejemplos: muestra de desviaciones con su acción inmediata y tiempos</t>
  </si>
  <si>
    <t>Desviaciones de controles sin repetición</t>
  </si>
  <si>
    <t>¿En qué medida las desviaciones de controles críticos cerradas no se repiten en el mismo control y área en los 6 meses siguientes (R04)?</t>
  </si>
  <si>
    <t>Ejemplos: análisis de repetición por control y área</t>
  </si>
  <si>
    <t>Controles compensatorios ante falla de un control</t>
  </si>
  <si>
    <t>Cuando un control crítico no está disponible (falla de la tecnología, sin relevo), ¿en qué medida se aplican controles compensatorios previstos antes de continuar la operación?</t>
  </si>
  <si>
    <t>Ejemplos: fallas de controles con el control compensatorio aplicado</t>
  </si>
  <si>
    <t>Disponibilidad e integridad de la tecnología</t>
  </si>
  <si>
    <t>S08.1</t>
  </si>
  <si>
    <t>Disponibilidad de la tecnología de monitoreo</t>
  </si>
  <si>
    <t>Mantener operativa la detección</t>
  </si>
  <si>
    <t>Disponibilidad técnica de la tecnología</t>
  </si>
  <si>
    <t>¿En qué medida los sistemas de monitoreo de los equipos en alcance están disponibles (L08) y sus fallas se reparan en un plazo razonable?</t>
  </si>
  <si>
    <t>Ejemplos: reportes de disponibilidad y órdenes de trabajo</t>
  </si>
  <si>
    <t>Pruebas funcionales de la cadena completa</t>
  </si>
  <si>
    <t>¿En qué medida se prueba periódicamente la cadena completa (sensor, alerta en cabina, alerta en el centro de monitoreo, registro)?</t>
  </si>
  <si>
    <t>Ejemplos: registros de pruebas funcionales</t>
  </si>
  <si>
    <t>Detección de manipulación o desconexión</t>
  </si>
  <si>
    <t>¿En qué medida se detecta y gestiona la desconexión, manipulación u obstrucción del dispositivo?</t>
  </si>
  <si>
    <t>Ejemplos: reportes de desconexión o manipulación y su gestión</t>
  </si>
  <si>
    <t>Calidad de datos y analítica</t>
  </si>
  <si>
    <t>S08.2</t>
  </si>
  <si>
    <t>Analítica de datos de fatiga</t>
  </si>
  <si>
    <t>Transformar datos en predicción y decisiones</t>
  </si>
  <si>
    <t>Datos de fatiga reunidos para análisis</t>
  </si>
  <si>
    <t>¿En qué medida los datos de roster, asistencia, evaluación antes del turno, alertas y eventos pueden reunirse para analizarlos por turno, área y faena (y por persona en forma anónima)?</t>
  </si>
  <si>
    <t>Ejemplos: base de datos o planillas que permitan cruzar la información; ejemplo de reporte</t>
  </si>
  <si>
    <t>Revisión documental y prueba</t>
  </si>
  <si>
    <t>Análisis de datos que generan acciones preventivas</t>
  </si>
  <si>
    <t>¿En qué medida el análisis de datos anticipa situaciones de riesgo (personas o turnos con alertas en aumento) y lleva a acciones preventivas documentadas?</t>
  </si>
  <si>
    <t>Ejemplos: reportes de análisis y acciones derivadas</t>
  </si>
  <si>
    <t>Falsos positivos y falsos negativos</t>
  </si>
  <si>
    <t>S08.3</t>
  </si>
  <si>
    <t>Calibración del sistema</t>
  </si>
  <si>
    <t>Mantener la confianza y la sensibilidad del sistema</t>
  </si>
  <si>
    <t>Falsas alertas y eventos no detectados analizados</t>
  </si>
  <si>
    <t>¿En qué medida se mide la tasa de falsas alertas y se revisan eventos no detectados para ajustar el sistema?</t>
  </si>
  <si>
    <t>Ejemplos: análisis de validación de alertas</t>
  </si>
  <si>
    <t>Alertas no ignoradas ni silenciadas</t>
  </si>
  <si>
    <t>¿En qué medida operadores y despachadores confían en las alertas y no las ignoran o silencian, según entrevistas y datos de alertas no reconocidas?</t>
  </si>
  <si>
    <t>Ejemplos: entrevistas; datos de alertas no reconocidas</t>
  </si>
  <si>
    <t>Entrevista estructurada y datos</t>
  </si>
  <si>
    <t>Carga de trabajo y diseño de la tarea</t>
  </si>
  <si>
    <t>S09.1</t>
  </si>
  <si>
    <t>Diseño de la tarea considerando carga y monotonía</t>
  </si>
  <si>
    <t>Evitar sobrecarga y subcarga (monotonía) que agravan fatiga y somnolencia</t>
  </si>
  <si>
    <t>Carga de trabajo y monotonía evaluadas</t>
  </si>
  <si>
    <t>¿En qué medida se evalúa la carga mental y física y la monotonía de las tareas críticas (acarreo nocturno, sala de control)?</t>
  </si>
  <si>
    <t>Ejemplos: evaluaciones ergonómicas o cognitivas; si no existen, lo que reportan jefaturas y trabajadores</t>
  </si>
  <si>
    <t>Medidas de diseño de la tarea implementadas</t>
  </si>
  <si>
    <t>¿En qué medida se aplican medidas de diseño (rotación de tareas, variación de ciclos, automatización) en las tareas con mayor carga o monotonía?</t>
  </si>
  <si>
    <t>Ejemplos: medidas aplicadas y su alcance; observación</t>
  </si>
  <si>
    <t>Competencia de supervisores y trabajadores</t>
  </si>
  <si>
    <t>S09.2</t>
  </si>
  <si>
    <t>Competencia en gestión de fatiga</t>
  </si>
  <si>
    <t>Asegurar que las personas sepan reconocer e intervenir</t>
  </si>
  <si>
    <t>Competencia práctica evaluada (no solo asistencia)</t>
  </si>
  <si>
    <t>¿En qué medida supervisores, despachadores y operadores saben gestionar la fatiga y la somnolencia, comprobado con una evaluación práctica y no solo con asistencia a cursos (L05)?</t>
  </si>
  <si>
    <t>Ejemplos: evaluaciones prácticas; % de personas competentes</t>
  </si>
  <si>
    <t>Intervención aplicada correctamente por supervisores</t>
  </si>
  <si>
    <t>En escenarios simulados o casos reales, ¿en qué medida los supervisores actúan correctamente ante una persona con fatiga o somnolencia (secuencia, tiempos, decisión de retiro)?</t>
  </si>
  <si>
    <t>Ejemplos: resultados de simulaciones o casos observados</t>
  </si>
  <si>
    <t>Presión productiva y dotación</t>
  </si>
  <si>
    <t>S09.3</t>
  </si>
  <si>
    <t>Gestión de la presión productiva y la dotación</t>
  </si>
  <si>
    <t>Evitar que la presión productiva o la dotación insuficiente erosionen los controles</t>
  </si>
  <si>
    <t>Dotación que no depende de horas extra</t>
  </si>
  <si>
    <t>¿En qué medida la dotación de cargos críticos considera ausentismo, vacaciones y relevos, de modo que la operación no dependa en forma permanente de horas extra?</t>
  </si>
  <si>
    <t>Ejemplos: cálculo de dotación; % de horas extra estructurales</t>
  </si>
  <si>
    <t>Comportamientos y prácticas observables</t>
  </si>
  <si>
    <t>S10.1</t>
  </si>
  <si>
    <t>Prácticas seguras en terreno</t>
  </si>
  <si>
    <t>Verificar que la forma real de trabajar coincide con la esperada</t>
  </si>
  <si>
    <t>Prácticas seguras observables en terreno</t>
  </si>
  <si>
    <t>¿En qué medida lo que se observa en terreno (uso de los controles, respeto de pausas y relevos, forma de actuar ante la fatiga) coincide con la forma de trabajo esperada, en distintos turnos y áreas?</t>
  </si>
  <si>
    <t>Ejemplos: observaciones planificadas en día y noche; registro de lo observado comparado con lo esperado</t>
  </si>
  <si>
    <t>Conversación de riesgos en el trabajo diario</t>
  </si>
  <si>
    <t>¿En qué medida la fatiga, la somnolencia y otros riesgos críticos se conversan de forma específica en las reuniones de inicio de turno y en el trabajo diario, y no como una mención genérica?</t>
  </si>
  <si>
    <t>Ejemplos: observación de al menos 3 reuniones de inicio de turno; registros de charlas</t>
  </si>
  <si>
    <t>Percepciones sobre la gestión de la seguridad</t>
  </si>
  <si>
    <t>S10.2</t>
  </si>
  <si>
    <t>Percepción respaldada por hechos</t>
  </si>
  <si>
    <t>Conocer cómo perciben las personas la gestión de la seguridad y contrastarlo con hechos, sin encuesta formal</t>
  </si>
  <si>
    <t>Percepción de los trabajadores sobre la gestión de la seguridad</t>
  </si>
  <si>
    <t>¿En qué medida los trabajadores, en conversaciones abiertas, perciben que la organización gestiona en serio los riesgos críticos y la fatiga, y pueden dar ejemplos concretos que respalden esa percepción?</t>
  </si>
  <si>
    <t>Ejemplos: conversaciones grupales o entrevistas breves con trabajadores de distintos turnos y empresas, y los ejemplos concretos que mencionan (no requiere encuesta formal)</t>
  </si>
  <si>
    <t>Entrevista grupal</t>
  </si>
  <si>
    <t>Percepciones contrastadas con hechos</t>
  </si>
  <si>
    <t>¿En qué medida lo que trabajadores y líderes dicen sobre la gestión de la seguridad coincide con los registros y con lo observado en terreno?</t>
  </si>
  <si>
    <t>Ejemplos: comparación de lo declarado en entrevistas con registros y observaciones; diferencias documentadas</t>
  </si>
  <si>
    <t>Contraste de fuentes</t>
  </si>
  <si>
    <t>Decisiones frente a riesgos y presiones operacionales</t>
  </si>
  <si>
    <t>S10.3</t>
  </si>
  <si>
    <t>Prioridad de la seguridad bajo presión</t>
  </si>
  <si>
    <t>Que la seguridad prevalezca cuando compite con la producción, los plazos u otras presiones</t>
  </si>
  <si>
    <t>Decisiones bajo presión que priorizan la seguridad</t>
  </si>
  <si>
    <t>Cuando hubo presión operacional, productiva o de plazos (relevo no disponible, metas de fin de mes, emergencias), ¿en qué medida las decisiones priorizaron la seguridad, deteniendo, reasignando o relevando a la persona?</t>
  </si>
  <si>
    <t>Ejemplos: reconstrucción de 3 a 5 casos recientes con los involucrados; registros de detenciones o reasignaciones por fatiga</t>
  </si>
  <si>
    <t>Controles que se mantienen en períodos de alta exigencia</t>
  </si>
  <si>
    <t>¿En qué medida los datos muestran que los controles de fatiga se mantienen cuando aumenta la exigencia productiva, sin aumento de extensiones de jornada ni de alertas sin intervención?</t>
  </si>
  <si>
    <t>Ejemplos: comparación de indicadores en períodos de alta exigencia y en períodos normales</t>
  </si>
  <si>
    <t>Participación, compromiso y comunicación de riesgos</t>
  </si>
  <si>
    <t>S10.4</t>
  </si>
  <si>
    <t>Participación y comunicación de riesgos</t>
  </si>
  <si>
    <t>Que los trabajadores participen y comprendan los riesgos de su tarea</t>
  </si>
  <si>
    <t>Participación y compromiso de los trabajadores</t>
  </si>
  <si>
    <t>¿En qué medida los trabajadores participan activamente en la identificación de riesgos y en la búsqueda de soluciones (proponen mejoras, participan en revisiones de turnos o tareas) y no solo reciben instrucciones?</t>
  </si>
  <si>
    <t>Ejemplos: propuestas de trabajadores y su resultado; participación en revisiones; relato de trabajadores</t>
  </si>
  <si>
    <t>Comunicación de riesgos comprensible y oportuna</t>
  </si>
  <si>
    <t>¿En qué medida los trabajadores reciben a tiempo y entienden la información sobre los riesgos de su tarea (noche 1, retorno de descanso, condiciones anómalas) y pueden explicarla con sus palabras?</t>
  </si>
  <si>
    <t>Ejemplos: entrevistas breves en terreno; comparación entre lo comunicado y lo comprendido</t>
  </si>
  <si>
    <t>Reporte, gestión de incidentes y aprendizaje</t>
  </si>
  <si>
    <t>S10.5</t>
  </si>
  <si>
    <t>Reporte sin temor y análisis sistémico</t>
  </si>
  <si>
    <t>Que se reporte sin temor y que los incidentes se analicen buscando causas del sistema</t>
  </si>
  <si>
    <t>Reportar fatiga y errores es seguro en la práctica</t>
  </si>
  <si>
    <t>¿En qué medida las personas reportan fatiga, errores, cuasi-incidentes y alertas sin temor a sanciones, y los casos revisados confirman que reportar no tuvo consecuencias punitivas?</t>
  </si>
  <si>
    <t>Ejemplos: muestra de reportes y su tratamiento; entrevistas confidenciales; existencia o no de un compromiso escrito de no represalia</t>
  </si>
  <si>
    <t>Entrevista confidencial y muestreo</t>
  </si>
  <si>
    <t>Incidentes analizados buscando causas del sistema</t>
  </si>
  <si>
    <t>¿En qué medida los incidentes y desviaciones se analizan buscando causas del sistema (turnos, dotación, presión, diseño de la tarea) y no solo la culpa individual?</t>
  </si>
  <si>
    <t>Ejemplos: muestra de investigaciones y análisis recientes; conclusiones y acciones registradas</t>
  </si>
  <si>
    <t>Reporte que se mantiene mientras los eventos graves bajan</t>
  </si>
  <si>
    <t>¿En qué medida el reporte de fatiga y de cuasi-incidentes se mantiene o aumenta mientras los eventos graves disminuyen?</t>
  </si>
  <si>
    <t>Ejemplos: serie de reportes y eventos de al menos 6 meses</t>
  </si>
  <si>
    <t>Actuación de los líderes y coherencia entre lo declarado y lo realizado</t>
  </si>
  <si>
    <t>S10.6</t>
  </si>
  <si>
    <t>Coherencia de los líderes</t>
  </si>
  <si>
    <t>Que lo que se declara sobre seguridad coincida con lo que se hace</t>
  </si>
  <si>
    <t>Actuación de los líderes frente a la seguridad</t>
  </si>
  <si>
    <t>¿En qué medida los líderes actúan de forma coherente con la seguridad cuando es incómodo hacerlo (detienen trabajos, aceptan un "no estoy apto", reconocen los reportes), según lo observado y lo relatado por sus equipos?</t>
  </si>
  <si>
    <t>Ejemplos: casos concretos relatados por trabajadores y supervisores; observación en terreno</t>
  </si>
  <si>
    <t>Coherencia entre lo que se declara y lo que se hace</t>
  </si>
  <si>
    <t>¿En qué medida lo que la organización declara sobre seguridad y fatiga (documentos, discursos, metas) coincide con lo que efectivamente hace en terreno, en los registros y en las decisiones?</t>
  </si>
  <si>
    <t>Ejemplos: lista de compromisos declarados contrastados uno a uno con evidencia de aplicación</t>
  </si>
  <si>
    <t>Higiene del sueño y educación sobre sueño y fatiga</t>
  </si>
  <si>
    <t>S11.1</t>
  </si>
  <si>
    <t>Educación sobre sueño y fatiga</t>
  </si>
  <si>
    <t>Desarrollar conocimiento y prácticas de sueño</t>
  </si>
  <si>
    <t>Educación en sueño con evaluación de conocimiento</t>
  </si>
  <si>
    <t>¿En qué medida los trabajadores expuestos conocen lo esencial sobre sueño, ritmos circadianos, higiene del sueño y la diferencia entre fatiga y somnolencia, comprobado con una evaluación de conocimiento?</t>
  </si>
  <si>
    <t>Ejemplos: registros de educación con evaluación; % de cobertura; preguntas breves en terreno</t>
  </si>
  <si>
    <t>Cambio medido en hábitos de sueño</t>
  </si>
  <si>
    <t>¿En qué medida se observa un cambio en las horas de sueño (declaradas o medidas, por ejemplo en la evaluación antes del turno) después de las acciones educativas?</t>
  </si>
  <si>
    <t>Ejemplos: datos de horas de sueño antes y después</t>
  </si>
  <si>
    <t>Participación familiar</t>
  </si>
  <si>
    <t>S11.2</t>
  </si>
  <si>
    <t>Involucramiento de la familia</t>
  </si>
  <si>
    <t>Apoyar el descanso en el hogar</t>
  </si>
  <si>
    <t>Involucramiento de la familia en el descanso</t>
  </si>
  <si>
    <t>¿En qué medida la organización involucra a las familias en el cuidado del descanso, el sueño y la adaptación a los turnos (material, talleres, actividades)?</t>
  </si>
  <si>
    <t>Ejemplos: actividades realizadas y participación</t>
  </si>
  <si>
    <t>Nutrición e hidratación</t>
  </si>
  <si>
    <t>S11.3</t>
  </si>
  <si>
    <t>Alimentación e hidratación en turno</t>
  </si>
  <si>
    <t>Reducir factores fisiológicos que agravan la fatiga</t>
  </si>
  <si>
    <t>Alimentación e hidratación adecuadas al turno</t>
  </si>
  <si>
    <t>¿En qué medida la alimentación en turno (especialmente de noche) y el acceso a agua en los puntos de trabajo responden a las necesidades del trabajo por turnos?</t>
  </si>
  <si>
    <t>Ejemplos: minutas; observación de puntos de hidratación</t>
  </si>
  <si>
    <t>Hidratación verificada en calor o altura</t>
  </si>
  <si>
    <t>¿En qué medida se verifica la hidratación en áreas de calor o altura y se actúa ante desviaciones?</t>
  </si>
  <si>
    <t>Ejemplos: registros de verificación. Marcar Aplica = No si no hay exposición a calor o altura</t>
  </si>
  <si>
    <t>Actividad física</t>
  </si>
  <si>
    <t>S11.4</t>
  </si>
  <si>
    <t>Programa de actividad física</t>
  </si>
  <si>
    <t>Mejorar capacidad física y calidad de sueño</t>
  </si>
  <si>
    <t>Actividad física compatible con los turnos</t>
  </si>
  <si>
    <t>¿En qué medida existen oportunidades de actividad física compatibles con los turnos y los trabajadores las usan?</t>
  </si>
  <si>
    <t>Ejemplos: registros de participación; instalaciones y horarios</t>
  </si>
  <si>
    <t>Recuperación, siestas y descanso en campamento</t>
  </si>
  <si>
    <t>S11.5</t>
  </si>
  <si>
    <t>Condiciones de descanso fuera del turno</t>
  </si>
  <si>
    <t>Asegurar oportunidad de sueño de calidad fuera del turno</t>
  </si>
  <si>
    <t>Dormitorios adecuados para el descanso</t>
  </si>
  <si>
    <t>¿En qué medida los dormitorios del campamento permiten un descanso adecuado (oscuridad, ruido, temperatura, habitación individual para turno de noche)?</t>
  </si>
  <si>
    <t>Ejemplos: inspecciones de dormitorios; observación; relato de trabajadores. Marcar Aplica = No si no hay campamento</t>
  </si>
  <si>
    <t>Condiciones de descanso medidas y gestionadas</t>
  </si>
  <si>
    <t>¿En qué medida se miden las condiciones de descanso (ruido, luz, temperatura) y se gestionan las quejas sobre el descanso?</t>
  </si>
  <si>
    <t>Ejemplos: mediciones y gestión de quejas</t>
  </si>
  <si>
    <t>D1. Gobernanza, organización y liderazgo</t>
  </si>
  <si>
    <t>D.2 Gestión del riesgo de fatiga</t>
  </si>
  <si>
    <t>D.3 Diseño de turnos y jornadas</t>
  </si>
  <si>
    <t>D.4 Gestión operacional de la fatiga</t>
  </si>
  <si>
    <t>D.5 Gestión de la somnolencia</t>
  </si>
  <si>
    <t>D.6 Salud ocupacional y trastornos del sueño</t>
  </si>
  <si>
    <t>D.7 Controles críticos</t>
  </si>
  <si>
    <t>D.8 Tecnología y sistemas de monitoreo</t>
  </si>
  <si>
    <t>D.9 Factores humanos y organizacionales</t>
  </si>
  <si>
    <t>D.10 Cultura de seguridad observable</t>
  </si>
  <si>
    <t>D.11 Factores preventivos</t>
  </si>
  <si>
    <t>El criterio «Responsabilidades de seguridad definidas por nivel» no está definido ni documentado; no existen criterios operativos, responsables ni evidencia aplicable.</t>
  </si>
  <si>
    <t>El criterio «Responsabilidades de seguridad definidas por nivel» se aborda de manera informal o mediante documentos aislados, incompletos o desactualizados, sin alcance ni responsables claros.</t>
  </si>
  <si>
    <t>El criterio «Responsabilidades de seguridad definidas por nivel» está formalmente definido, pero cubre solo parte del alcance o presenta brechas relevantes de actualización, criterios, responsables o aprobación.</t>
  </si>
  <si>
    <t>El criterio «Responsabilidades de seguridad definidas por nivel» está definido, documentado, aprobado y vigente para la mayor parte del alcance; solo quedan brechas menores de cobertura o integración.</t>
  </si>
  <si>
    <t>El criterio «Responsabilidades de seguridad definidas por nivel» está completamente formalizado, aprobado, vigente e integrado a la gestión, con alcance, parámetros, responsables y revisión periódica verificables mediante revisión documental y entrevista.</t>
  </si>
  <si>
    <t>El criterio «Roles comprendidos en todos los niveles» no se aplica en la práctica y no existe evidencia de implementación.</t>
  </si>
  <si>
    <t>El criterio «Roles comprendidos en todos los niveles» se aplica solo en casos aislados o de manera informal, sin cobertura planificada ni consistencia entre áreas, turnos o personas expuestas.</t>
  </si>
  <si>
    <t>El criterio «Roles comprendidos en todos los niveles» está implementado parcialmente; alcanza parte de la población o del proceso, con brechas relevantes de cobertura, frecuencia o registro.</t>
  </si>
  <si>
    <t>El criterio «Roles comprendidos en todos los niveles» está implementado de forma regular en la mayor parte del alcance y con evidencia suficiente; persisten brechas menores de cobertura o consistencia.</t>
  </si>
  <si>
    <t>El criterio «Roles comprendidos en todos los niveles» está implementado sistemáticamente en todo el alcance aplicable, incluidos turnos y contratistas cuando corresponde, con registros completos y verificación mediante entrevista estructurada.</t>
  </si>
  <si>
    <t>El control asociado a «Rendición de cuentas aplicada» no opera en la práctica o, cuando se requiere, no genera la acción esperada.</t>
  </si>
  <si>
    <t>El control asociado a «Rendición de cuentas aplicada» opera de forma esporádica y reactiva, depende de iniciativas individuales y carece de respuesta oportuna o registros consistentes.</t>
  </si>
  <si>
    <t>El control asociado a «Rendición de cuentas aplicada» funciona parcialmente o de manera irregular; genera algunas acciones, pero presenta brechas relevantes de oportunidad, calidad, seguimiento o trazabilidad.</t>
  </si>
  <si>
    <t>El control asociado a «Rendición de cuentas aplicada» funciona regularmente y genera la respuesta esperada en la mayoría de los casos; quedan desviaciones menores de oportunidad, cobertura o registro.</t>
  </si>
  <si>
    <t>El control asociado a «Rendición de cuentas aplicada» funciona de manera confiable, oportuna y consistente en todos los casos aplicables, con acciones trazables, seguimiento y evidencia verificable mediante reconstrucción de casos.</t>
  </si>
  <si>
    <t>El criterio «Compromiso visible de la alta dirección» no se aplica en la práctica y no existe evidencia de implementación.</t>
  </si>
  <si>
    <t>El criterio «Compromiso visible de la alta dirección» se aplica solo en casos aislados o de manera informal, sin cobertura planificada ni consistencia entre áreas, turnos o personas expuestas.</t>
  </si>
  <si>
    <t>El criterio «Compromiso visible de la alta dirección» está implementado parcialmente; alcanza parte de la población o del proceso, con brechas relevantes de cobertura, frecuencia o registro.</t>
  </si>
  <si>
    <t>El criterio «Compromiso visible de la alta dirección» está implementado de forma regular en la mayor parte del alcance y con evidencia suficiente; persisten brechas menores de cobertura o consistencia.</t>
  </si>
  <si>
    <t>El criterio «Compromiso visible de la alta dirección» está implementado sistemáticamente en todo el alcance aplicable, incluidos turnos y contratistas cuando corresponde, con registros completos y verificación mediante entrevista y muestreo de registros.</t>
  </si>
  <si>
    <t>El control asociado a «Acciones visibles de los líderes en terreno» no opera en la práctica o, cuando se requiere, no genera la acción esperada.</t>
  </si>
  <si>
    <t>El control asociado a «Acciones visibles de los líderes en terreno» opera de forma esporádica y reactiva, depende de iniciativas individuales y carece de respuesta oportuna o registros consistentes.</t>
  </si>
  <si>
    <t>El control asociado a «Acciones visibles de los líderes en terreno» funciona parcialmente o de manera irregular; genera algunas acciones, pero presenta brechas relevantes de oportunidad, calidad, seguimiento o trazabilidad.</t>
  </si>
  <si>
    <t>El control asociado a «Acciones visibles de los líderes en terreno» funciona regularmente y genera la respuesta esperada en la mayoría de los casos; quedan desviaciones menores de oportunidad, cobertura o registro.</t>
  </si>
  <si>
    <t>El control asociado a «Acciones visibles de los líderes en terreno» funciona de manera confiable, oportuna y consistente en todos los casos aplicables, con acciones trazables, seguimiento y evidencia verificable mediante observación en terreno.</t>
  </si>
  <si>
    <t>El criterio «Objetivos claros que incluyen la fatiga» no está definido ni documentado; no existen criterios operativos, responsables ni evidencia aplicable.</t>
  </si>
  <si>
    <t>El criterio «Objetivos claros que incluyen la fatiga» se aborda de manera informal o mediante documentos aislados, incompletos o desactualizados, sin alcance ni responsables claros.</t>
  </si>
  <si>
    <t>El criterio «Objetivos claros que incluyen la fatiga» está formalmente definido, pero cubre solo parte del alcance o presenta brechas relevantes de actualización, criterios, responsables o aprobación.</t>
  </si>
  <si>
    <t>El criterio «Objetivos claros que incluyen la fatiga» está definido, documentado, aprobado y vigente para la mayor parte del alcance; solo quedan brechas menores de cobertura o integración.</t>
  </si>
  <si>
    <t>El criterio «Objetivos claros que incluyen la fatiga» está completamente formalizado, aprobado, vigente e integrado a la gestión, con alcance, parámetros, responsables y revisión periódica verificables mediante revisión documental y entrevista.</t>
  </si>
  <si>
    <t>El criterio «Mecanismos para decidir considerando los riesgos críticos» no está definido ni documentado; no existen criterios operativos, responsables ni evidencia aplicable.</t>
  </si>
  <si>
    <t>El criterio «Mecanismos para decidir considerando los riesgos críticos» se aborda de manera informal o mediante documentos aislados, incompletos o desactualizados, sin alcance ni responsables claros.</t>
  </si>
  <si>
    <t>El criterio «Mecanismos para decidir considerando los riesgos críticos» está formalmente definido, pero cubre solo parte del alcance o presenta brechas relevantes de actualización, criterios, responsables o aprobación.</t>
  </si>
  <si>
    <t>El criterio «Mecanismos para decidir considerando los riesgos críticos» está definido, documentado, aprobado y vigente para la mayor parte del alcance; solo quedan brechas menores de cobertura o integración.</t>
  </si>
  <si>
    <t>El criterio «Mecanismos para decidir considerando los riesgos críticos» está completamente formalizado, aprobado, vigente e integrado a la gestión, con alcance, parámetros, responsables y revisión periódica verificables mediante revisión documental y entrevista.</t>
  </si>
  <si>
    <t>El control asociado a «Seguridad integrada en la planificación real» no opera en la práctica o, cuando se requiere, no genera la acción esperada.</t>
  </si>
  <si>
    <t>El control asociado a «Seguridad integrada en la planificación real» opera de forma esporádica y reactiva, depende de iniciativas individuales y carece de respuesta oportuna o registros consistentes.</t>
  </si>
  <si>
    <t>El control asociado a «Seguridad integrada en la planificación real» funciona parcialmente o de manera irregular; genera algunas acciones, pero presenta brechas relevantes de oportunidad, calidad, seguimiento o trazabilidad.</t>
  </si>
  <si>
    <t>El control asociado a «Seguridad integrada en la planificación real» funciona regularmente y genera la respuesta esperada en la mayoría de los casos; quedan desviaciones menores de oportunidad, cobertura o registro.</t>
  </si>
  <si>
    <t>El control asociado a «Seguridad integrada en la planificación real» funciona de manera confiable, oportuna y consistente en todos los casos aplicables, con acciones trazables, seguimiento y evidencia verificable mediante reconstrucción de casos.</t>
  </si>
  <si>
    <t>No se verifica el criterio «Revisión periódica de la dirección con datos» y no existe evidencia de revisión del control o de sus resultados.</t>
  </si>
  <si>
    <t>El criterio «Revisión periódica de la dirección con datos» se verifica solo de manera ocasional o informal, sin método, frecuencia, muestra ni seguimiento definidos.</t>
  </si>
  <si>
    <t>El criterio «Revisión periódica de la dirección con datos» cuenta con verificaciones periódicas pero parciales, con cobertura o profundidad insuficiente y seguimiento inconsistente de los hallazgos.</t>
  </si>
  <si>
    <t>El criterio «Revisión periódica de la dirección con datos» se verifica sistemáticamente en la mayor parte del alcance, con hallazgos registrados y acciones de seguimiento; quedan brechas menores.</t>
  </si>
  <si>
    <t>El criterio «Revisión periódica de la dirección con datos» se verifica de forma sistemática, independiente y basada en riesgo en todo el alcance, mediante revisión documental y muestreo, con cierre comprobado de hallazgos y retroalimentación al sistema.</t>
  </si>
  <si>
    <t>El criterio «Decisiones de la dirección con efecto medible» no muestra resultados medibles o no se evalúa su efecto sobre el riesgo y el desempeño.</t>
  </si>
  <si>
    <t>El criterio «Decisiones de la dirección con efecto medible» presenta resultados anecdóticos o aislados, sin línea base, indicadores comparables ni evidencia de mejora atribuible.</t>
  </si>
  <si>
    <t>El criterio «Decisiones de la dirección con efecto medible» dispone de algunos indicadores o comparaciones, pero los resultados son parciales, inestables o insuficientes para demostrar efectividad sostenida.</t>
  </si>
  <si>
    <t>El criterio «Decisiones de la dirección con efecto medible» muestra una mejora medible y mayormente sostenida en los resultados; persisten brechas menores o variaciones que requieren seguimiento.</t>
  </si>
  <si>
    <t>El criterio «Decisiones de la dirección con efecto medible» demuestra efectividad sostenida con datos comparables de al menos tres períodos, tendencia favorable y ausencia o reducción comprobada de recurrencias, verificada mediante análisis de datos.</t>
  </si>
  <si>
    <t>El control asociado a «Recursos para los controles disponibles en cada turno» no opera en la práctica o, cuando se requiere, no genera la acción esperada.</t>
  </si>
  <si>
    <t>El control asociado a «Recursos para los controles disponibles en cada turno» opera de forma esporádica y reactiva, depende de iniciativas individuales y carece de respuesta oportuna o registros consistentes.</t>
  </si>
  <si>
    <t>El control asociado a «Recursos para los controles disponibles en cada turno» funciona parcialmente o de manera irregular; genera algunas acciones, pero presenta brechas relevantes de oportunidad, calidad, seguimiento o trazabilidad.</t>
  </si>
  <si>
    <t>El control asociado a «Recursos para los controles disponibles en cada turno» funciona regularmente y genera la respuesta esperada en la mayoría de los casos; quedan desviaciones menores de oportunidad, cobertura o registro.</t>
  </si>
  <si>
    <t>El control asociado a «Recursos para los controles disponibles en cada turno» funciona de manera confiable, oportuna y consistente en todos los casos aplicables, con acciones trazables, seguimiento y evidencia verificable mediante análisis de datos.</t>
  </si>
  <si>
    <t>El control asociado a «Comunicación efectiva entre niveles» no opera en la práctica o, cuando se requiere, no genera la acción esperada.</t>
  </si>
  <si>
    <t>El control asociado a «Comunicación efectiva entre niveles» opera de forma esporádica y reactiva, depende de iniciativas individuales y carece de respuesta oportuna o registros consistentes.</t>
  </si>
  <si>
    <t>El control asociado a «Comunicación efectiva entre niveles» funciona parcialmente o de manera irregular; genera algunas acciones, pero presenta brechas relevantes de oportunidad, calidad, seguimiento o trazabilidad.</t>
  </si>
  <si>
    <t>El control asociado a «Comunicación efectiva entre niveles» funciona regularmente y genera la respuesta esperada en la mayoría de los casos; quedan desviaciones menores de oportunidad, cobertura o registro.</t>
  </si>
  <si>
    <t>El control asociado a «Comunicación efectiva entre niveles» funciona de manera confiable, oportuna y consistente en todos los casos aplicables, con acciones trazables, seguimiento y evidencia verificable mediante entrevista y reconstrucción de casos.</t>
  </si>
  <si>
    <t>El criterio «Mecanismos de participación de los trabajadores» no se aplica en la práctica y no existe evidencia de implementación.</t>
  </si>
  <si>
    <t>El criterio «Mecanismos de participación de los trabajadores» se aplica solo en casos aislados o de manera informal, sin cobertura planificada ni consistencia entre áreas, turnos o personas expuestas.</t>
  </si>
  <si>
    <t>El criterio «Mecanismos de participación de los trabajadores» está implementado parcialmente; alcanza parte de la población o del proceso, con brechas relevantes de cobertura, frecuencia o registro.</t>
  </si>
  <si>
    <t>El criterio «Mecanismos de participación de los trabajadores» está implementado de forma regular en la mayor parte del alcance y con evidencia suficiente; persisten brechas menores de cobertura o consistencia.</t>
  </si>
  <si>
    <t>El criterio «Mecanismos de participación de los trabajadores» está implementado sistemáticamente en todo el alcance aplicable, incluidos turnos y contratistas cuando corresponde, con registros completos y verificación mediante entrevista y muestreo de registros.</t>
  </si>
  <si>
    <t>El control asociado a «Desviaciones que generan acción y seguimiento» no opera en la práctica o, cuando se requiere, no genera la acción esperada.</t>
  </si>
  <si>
    <t>El control asociado a «Desviaciones que generan acción y seguimiento» opera de forma esporádica y reactiva, depende de iniciativas individuales y carece de respuesta oportuna o registros consistentes.</t>
  </si>
  <si>
    <t>El control asociado a «Desviaciones que generan acción y seguimiento» funciona parcialmente o de manera irregular; genera algunas acciones, pero presenta brechas relevantes de oportunidad, calidad, seguimiento o trazabilidad.</t>
  </si>
  <si>
    <t>El control asociado a «Desviaciones que generan acción y seguimiento» funciona regularmente y genera la respuesta esperada en la mayoría de los casos; quedan desviaciones menores de oportunidad, cobertura o registro.</t>
  </si>
  <si>
    <t>El control asociado a «Desviaciones que generan acción y seguimiento» funciona de manera confiable, oportuna y consistente en todos los casos aplicables, con acciones trazables, seguimiento y evidencia verificable mediante muestreo de registros.</t>
  </si>
  <si>
    <t>El criterio «Aprendizaje que produce cambios» no muestra resultados medibles o no se evalúa su efecto sobre el riesgo y el desempeño.</t>
  </si>
  <si>
    <t>El criterio «Aprendizaje que produce cambios» presenta resultados anecdóticos o aislados, sin línea base, indicadores comparables ni evidencia de mejora atribuible.</t>
  </si>
  <si>
    <t>El criterio «Aprendizaje que produce cambios» dispone de algunos indicadores o comparaciones, pero los resultados son parciales, inestables o insuficientes para demostrar efectividad sostenida.</t>
  </si>
  <si>
    <t>El criterio «Aprendizaje que produce cambios» muestra una mejora medible y mayormente sostenida en los resultados; persisten brechas menores o variaciones que requieren seguimiento.</t>
  </si>
  <si>
    <t>El criterio «Aprendizaje que produce cambios» demuestra efectividad sostenida con datos comparables de al menos tres períodos, tendencia favorable y ausencia o reducción comprobada de recurrencias, verificada mediante muestreo de registros y observación.</t>
  </si>
  <si>
    <t>El criterio «Requisitos de fatiga para contratistas de tareas críticas» no está definido ni documentado; no existen criterios operativos, responsables ni evidencia aplicable.</t>
  </si>
  <si>
    <t>El criterio «Requisitos de fatiga para contratistas de tareas críticas» se aborda de manera informal o mediante documentos aislados, incompletos o desactualizados, sin alcance ni responsables claros.</t>
  </si>
  <si>
    <t>El criterio «Requisitos de fatiga para contratistas de tareas críticas» está formalmente definido, pero cubre solo parte del alcance o presenta brechas relevantes de actualización, criterios, responsables o aprobación.</t>
  </si>
  <si>
    <t>El criterio «Requisitos de fatiga para contratistas de tareas críticas» está definido, documentado, aprobado y vigente para la mayor parte del alcance; solo quedan brechas menores de cobertura o integración.</t>
  </si>
  <si>
    <t>El criterio «Requisitos de fatiga para contratistas de tareas críticas» está completamente formalizado, aprobado, vigente e integrado a la gestión, con alcance, parámetros, responsables y revisión periódica verificables mediante revisión documental.</t>
  </si>
  <si>
    <t>No se verifica el criterio «Jornadas de contratistas verificadas con datos» y no existe evidencia de revisión del control o de sus resultados.</t>
  </si>
  <si>
    <t>El criterio «Jornadas de contratistas verificadas con datos» se verifica solo de manera ocasional o informal, sin método, frecuencia, muestra ni seguimiento definidos.</t>
  </si>
  <si>
    <t>El criterio «Jornadas de contratistas verificadas con datos» cuenta con verificaciones periódicas pero parciales, con cobertura o profundidad insuficiente y seguimiento inconsistente de los hallazgos.</t>
  </si>
  <si>
    <t>El criterio «Jornadas de contratistas verificadas con datos» se verifica sistemáticamente en la mayor parte del alcance, con hallazgos registrados y acciones de seguimiento; quedan brechas menores.</t>
  </si>
  <si>
    <t>El criterio «Jornadas de contratistas verificadas con datos» se verifica de forma sistemática, independiente y basada en riesgo en todo el alcance, mediante análisis de datos, con cierre comprobado de hallazgos y retroalimentación al sistema.</t>
  </si>
  <si>
    <t>El criterio «Tareas críticas y población expuesta identificadas» no está definido ni documentado; no existen criterios operativos, responsables ni evidencia aplicable.</t>
  </si>
  <si>
    <t>El criterio «Tareas críticas y población expuesta identificadas» se aborda de manera informal o mediante documentos aislados, incompletos o desactualizados, sin alcance ni responsables claros.</t>
  </si>
  <si>
    <t>El criterio «Tareas críticas y población expuesta identificadas» está formalmente definido, pero cubre solo parte del alcance o presenta brechas relevantes de actualización, criterios, responsables o aprobación.</t>
  </si>
  <si>
    <t>El criterio «Tareas críticas y población expuesta identificadas» está definido, documentado, aprobado y vigente para la mayor parte del alcance; solo quedan brechas menores de cobertura o integración.</t>
  </si>
  <si>
    <t>El criterio «Tareas críticas y población expuesta identificadas» está completamente formalizado, aprobado, vigente e integrado a la gestión, con alcance, parámetros, responsables y revisión periódica verificables mediante revisión documental y entrevista.</t>
  </si>
  <si>
    <t>El criterio «Identificación usada para asignar controles» no se aplica en la práctica y no existe evidencia de implementación.</t>
  </si>
  <si>
    <t>El criterio «Identificación usada para asignar controles» se aplica solo en casos aislados o de manera informal, sin cobertura planificada ni consistencia entre áreas, turnos o personas expuestas.</t>
  </si>
  <si>
    <t>El criterio «Identificación usada para asignar controles» está implementado parcialmente; alcanza parte de la población o del proceso, con brechas relevantes de cobertura, frecuencia o registro.</t>
  </si>
  <si>
    <t>El criterio «Identificación usada para asignar controles» está implementado de forma regular en la mayor parte del alcance y con evidencia suficiente; persisten brechas menores de cobertura o consistencia.</t>
  </si>
  <si>
    <t>El criterio «Identificación usada para asignar controles» está implementado sistemáticamente en todo el alcance aplicable, incluidos turnos y contratistas cuando corresponde, con registros completos y verificación mediante muestreo de registros.</t>
  </si>
  <si>
    <t>El criterio «Análisis de riesgo que diferencia fatiga y somnolencia» no está definido ni documentado; no existen criterios operativos, responsables ni evidencia aplicable.</t>
  </si>
  <si>
    <t>El criterio «Análisis de riesgo que diferencia fatiga y somnolencia» se aborda de manera informal o mediante documentos aislados, incompletos o desactualizados, sin alcance ni responsables claros.</t>
  </si>
  <si>
    <t>El criterio «Análisis de riesgo que diferencia fatiga y somnolencia» está formalmente definido, pero cubre solo parte del alcance o presenta brechas relevantes de actualización, criterios, responsables o aprobación.</t>
  </si>
  <si>
    <t>El criterio «Análisis de riesgo que diferencia fatiga y somnolencia» está definido, documentado, aprobado y vigente para la mayor parte del alcance; solo quedan brechas menores de cobertura o integración.</t>
  </si>
  <si>
    <t>El criterio «Análisis de riesgo que diferencia fatiga y somnolencia» está completamente formalizado, aprobado, vigente e integrado a la gestión, con alcance, parámetros, responsables y revisión periódica verificables mediante revisión documental.</t>
  </si>
  <si>
    <t>No se verifica el criterio «Análisis de riesgo validado en terreno y actualizado» y no existe evidencia de revisión del control o de sus resultados.</t>
  </si>
  <si>
    <t>El criterio «Análisis de riesgo validado en terreno y actualizado» se verifica solo de manera ocasional o informal, sin método, frecuencia, muestra ni seguimiento definidos.</t>
  </si>
  <si>
    <t>El criterio «Análisis de riesgo validado en terreno y actualizado» cuenta con verificaciones periódicas pero parciales, con cobertura o profundidad insuficiente y seguimiento inconsistente de los hallazgos.</t>
  </si>
  <si>
    <t>El criterio «Análisis de riesgo validado en terreno y actualizado» se verifica sistemáticamente en la mayor parte del alcance, con hallazgos registrados y acciones de seguimiento; quedan brechas menores.</t>
  </si>
  <si>
    <t>El criterio «Análisis de riesgo validado en terreno y actualizado» se verifica de forma sistemática, independiente y basada en riesgo en todo el alcance, mediante revisión documental y entrevista, con cierre comprobado de hallazgos y retroalimentación al sistema.</t>
  </si>
  <si>
    <t>El criterio «Riesgo residual sustentado en datos» no muestra resultados medibles o no se evalúa su efecto sobre el riesgo y el desempeño.</t>
  </si>
  <si>
    <t>El criterio «Riesgo residual sustentado en datos» presenta resultados anecdóticos o aislados, sin línea base, indicadores comparables ni evidencia de mejora atribuible.</t>
  </si>
  <si>
    <t>El criterio «Riesgo residual sustentado en datos» dispone de algunos indicadores o comparaciones, pero los resultados son parciales, inestables o insuficientes para demostrar efectividad sostenida.</t>
  </si>
  <si>
    <t>El criterio «Riesgo residual sustentado en datos» muestra una mejora medible y mayormente sostenida en los resultados; persisten brechas menores o variaciones que requieren seguimiento.</t>
  </si>
  <si>
    <t>El criterio «Riesgo residual sustentado en datos» demuestra efectividad sostenida con datos comparables de al menos tres períodos, tendencia favorable y ausencia o reducción comprobada de recurrencias, verificada mediante análisis de datos.</t>
  </si>
  <si>
    <t>El criterio «Cambios evaluados considerando la fatiga» no está definido ni documentado; no existen criterios operativos, responsables ni evidencia aplicable.</t>
  </si>
  <si>
    <t>El criterio «Cambios evaluados considerando la fatiga» se aborda de manera informal o mediante documentos aislados, incompletos o desactualizados, sin alcance ni responsables claros.</t>
  </si>
  <si>
    <t>El criterio «Cambios evaluados considerando la fatiga» está formalmente definido, pero cubre solo parte del alcance o presenta brechas relevantes de actualización, criterios, responsables o aprobación.</t>
  </si>
  <si>
    <t>El criterio «Cambios evaluados considerando la fatiga» está definido, documentado, aprobado y vigente para la mayor parte del alcance; solo quedan brechas menores de cobertura o integración.</t>
  </si>
  <si>
    <t>El criterio «Cambios evaluados considerando la fatiga» está completamente formalizado, aprobado, vigente e integrado a la gestión, con alcance, parámetros, responsables y revisión periódica verificables mediante revisión documental.</t>
  </si>
  <si>
    <t>El criterio «Evaluación de fatiga aplicada a cambios reales» no se aplica en la práctica y no existe evidencia de implementación.</t>
  </si>
  <si>
    <t>El criterio «Evaluación de fatiga aplicada a cambios reales» se aplica solo en casos aislados o de manera informal, sin cobertura planificada ni consistencia entre áreas, turnos o personas expuestas.</t>
  </si>
  <si>
    <t>El criterio «Evaluación de fatiga aplicada a cambios reales» está implementado parcialmente; alcanza parte de la población o del proceso, con brechas relevantes de cobertura, frecuencia o registro.</t>
  </si>
  <si>
    <t>El criterio «Evaluación de fatiga aplicada a cambios reales» está implementado de forma regular en la mayor parte del alcance y con evidencia suficiente; persisten brechas menores de cobertura o consistencia.</t>
  </si>
  <si>
    <t>El criterio «Evaluación de fatiga aplicada a cambios reales» está implementado sistemáticamente en todo el alcance aplicable, incluidos turnos y contratistas cuando corresponde, con registros completos y verificación mediante muestreo de registros.</t>
  </si>
  <si>
    <t>El control asociado a «Controles que se mantienen en condiciones anómalas» deja de operar ante contingencias, dotación reducida, emergencias u otras condiciones anómalas.</t>
  </si>
  <si>
    <t>El control asociado a «Controles que se mantienen en condiciones anómalas» se mantiene solo mediante respuestas improvisadas, sin criterios de excepción, autorización ni controles compensatorios definidos.</t>
  </si>
  <si>
    <t>El control asociado a «Controles que se mantienen en condiciones anómalas» se mantiene parcialmente en condiciones anómalas, pero presenta brechas relevantes de recursos, cobertura, autorización o verificación de controles compensatorios.</t>
  </si>
  <si>
    <t>El control asociado a «Controles que se mantienen en condiciones anómalas» se mantiene en la mayoría de las condiciones anómalas, con excepciones autorizadas y controles compensatorios; quedan brechas menores de consistencia.</t>
  </si>
  <si>
    <t>El control asociado a «Controles que se mantienen en condiciones anómalas» se mantiene plenamente efectivo en condiciones normales y anómalas, con recursos disponibles, excepciones controladas, pruebas periódicas y evidencia verificable mediante análisis de datos.</t>
  </si>
  <si>
    <t>El criterio «Investigación con variables objetivas de fatiga» no está definido ni documentado; no existen criterios operativos, responsables ni evidencia aplicable.</t>
  </si>
  <si>
    <t>El criterio «Investigación con variables objetivas de fatiga» se aborda de manera informal o mediante documentos aislados, incompletos o desactualizados, sin alcance ni responsables claros.</t>
  </si>
  <si>
    <t>El criterio «Investigación con variables objetivas de fatiga» está formalmente definido, pero cubre solo parte del alcance o presenta brechas relevantes de actualización, criterios, responsables o aprobación.</t>
  </si>
  <si>
    <t>El criterio «Investigación con variables objetivas de fatiga» está definido, documentado, aprobado y vigente para la mayor parte del alcance; solo quedan brechas menores de cobertura o integración.</t>
  </si>
  <si>
    <t>El criterio «Investigación con variables objetivas de fatiga» está completamente formalizado, aprobado, vigente e integrado a la gestión, con alcance, parámetros, responsables y revisión periódica verificables mediante revisión documental.</t>
  </si>
  <si>
    <t>El control asociado a «Fatiga evaluada en investigaciones reales» no opera en la práctica o, cuando se requiere, no genera la acción esperada.</t>
  </si>
  <si>
    <t>El control asociado a «Fatiga evaluada en investigaciones reales» opera de forma esporádica y reactiva, depende de iniciativas individuales y carece de respuesta oportuna o registros consistentes.</t>
  </si>
  <si>
    <t>El control asociado a «Fatiga evaluada en investigaciones reales» funciona parcialmente o de manera irregular; genera algunas acciones, pero presenta brechas relevantes de oportunidad, calidad, seguimiento o trazabilidad.</t>
  </si>
  <si>
    <t>El control asociado a «Fatiga evaluada en investigaciones reales» funciona regularmente y genera la respuesta esperada en la mayoría de los casos; quedan desviaciones menores de oportunidad, cobertura o registro.</t>
  </si>
  <si>
    <t>El control asociado a «Fatiga evaluada en investigaciones reales» funciona de manera confiable, oportuna y consistente en todos los casos aplicables, con acciones trazables, seguimiento y evidencia verificable mediante muestreo de registros.</t>
  </si>
  <si>
    <t>El criterio «Acciones de investigaciones sin recurrencia» no muestra resultados medibles o no se evalúa su efecto sobre el riesgo y el desempeño.</t>
  </si>
  <si>
    <t>El criterio «Acciones de investigaciones sin recurrencia» presenta resultados anecdóticos o aislados, sin línea base, indicadores comparables ni evidencia de mejora atribuible.</t>
  </si>
  <si>
    <t>El criterio «Acciones de investigaciones sin recurrencia» dispone de algunos indicadores o comparaciones, pero los resultados son parciales, inestables o insuficientes para demostrar efectividad sostenida.</t>
  </si>
  <si>
    <t>El criterio «Acciones de investigaciones sin recurrencia» muestra una mejora medible y mayormente sostenida en los resultados; persisten brechas menores o variaciones que requieren seguimiento.</t>
  </si>
  <si>
    <t>El criterio «Acciones de investigaciones sin recurrencia» demuestra efectividad sostenida con datos comparables de al menos tres períodos, tendencia favorable y ausencia o reducción comprobada de recurrencias, verificada mediante análisis de datos.</t>
  </si>
  <si>
    <t>El criterio «Criterios de fatiga en el diseño de turnos» no está definido ni documentado; no existen criterios operativos, responsables ni evidencia aplicable.</t>
  </si>
  <si>
    <t>El criterio «Criterios de fatiga en el diseño de turnos» se aborda de manera informal o mediante documentos aislados, incompletos o desactualizados, sin alcance ni responsables claros.</t>
  </si>
  <si>
    <t>El criterio «Criterios de fatiga en el diseño de turnos» está formalmente definido, pero cubre solo parte del alcance o presenta brechas relevantes de actualización, criterios, responsables o aprobación.</t>
  </si>
  <si>
    <t>El criterio «Criterios de fatiga en el diseño de turnos» está definido, documentado, aprobado y vigente para la mayor parte del alcance; solo quedan brechas menores de cobertura o integración.</t>
  </si>
  <si>
    <t>El criterio «Criterios de fatiga en el diseño de turnos» está completamente formalizado, aprobado, vigente e integrado a la gestión, con alcance, parámetros, responsables y revisión periódica verificables mediante revisión documental.</t>
  </si>
  <si>
    <t>El criterio «Rosters programados dentro de criterios» no se aplica en la práctica y no existe evidencia de implementación.</t>
  </si>
  <si>
    <t>El criterio «Rosters programados dentro de criterios» se aplica solo en casos aislados o de manera informal, sin cobertura planificada ni consistencia entre áreas, turnos o personas expuestas.</t>
  </si>
  <si>
    <t>El criterio «Rosters programados dentro de criterios» está implementado parcialmente; alcanza parte de la población o del proceso, con brechas relevantes de cobertura, frecuencia o registro.</t>
  </si>
  <si>
    <t>El criterio «Rosters programados dentro de criterios» está implementado de forma regular en la mayor parte del alcance y con evidencia suficiente; persisten brechas menores de cobertura o consistencia.</t>
  </si>
  <si>
    <t>El criterio «Rosters programados dentro de criterios» está implementado sistemáticamente en todo el alcance aplicable, incluidos turnos y contratistas cuando corresponde, con registros completos y verificación mediante análisis de datos.</t>
  </si>
  <si>
    <t>El control asociado a «Turnos trabajados dentro de límites» no opera en la práctica o, cuando se requiere, no genera la acción esperada.</t>
  </si>
  <si>
    <t>El control asociado a «Turnos trabajados dentro de límites» opera de forma esporádica y reactiva, depende de iniciativas individuales y carece de respuesta oportuna o registros consistentes.</t>
  </si>
  <si>
    <t>El control asociado a «Turnos trabajados dentro de límites» funciona parcialmente o de manera irregular; genera algunas acciones, pero presenta brechas relevantes de oportunidad, calidad, seguimiento o trazabilidad.</t>
  </si>
  <si>
    <t>El control asociado a «Turnos trabajados dentro de límites» funciona regularmente y genera la respuesta esperada en la mayoría de los casos; quedan desviaciones menores de oportunidad, cobertura o registro.</t>
  </si>
  <si>
    <t>El control asociado a «Turnos trabajados dentro de límites» funciona de manera confiable, oportuna y consistente en todos los casos aplicables, con acciones trazables, seguimiento y evidencia verificable mediante análisis de datos.</t>
  </si>
  <si>
    <t>El criterio «Roster ajustado según patrones de somnolencia» no muestra resultados medibles o no se evalúa su efecto sobre el riesgo y el desempeño.</t>
  </si>
  <si>
    <t>El criterio «Roster ajustado según patrones de somnolencia» presenta resultados anecdóticos o aislados, sin línea base, indicadores comparables ni evidencia de mejora atribuible.</t>
  </si>
  <si>
    <t>El criterio «Roster ajustado según patrones de somnolencia» dispone de algunos indicadores o comparaciones, pero los resultados son parciales, inestables o insuficientes para demostrar efectividad sostenida.</t>
  </si>
  <si>
    <t>El criterio «Roster ajustado según patrones de somnolencia» muestra una mejora medible y mayormente sostenida en los resultados; persisten brechas menores o variaciones que requieren seguimiento.</t>
  </si>
  <si>
    <t>El criterio «Roster ajustado según patrones de somnolencia» demuestra efectividad sostenida con datos comparables de al menos tres períodos, tendencia favorable y ausencia o reducción comprobada de recurrencias, verificada mediante análisis de datos.</t>
  </si>
  <si>
    <t>El criterio «Participación de trabajadores en el diseño de turnos» no está definido ni documentado; no existen criterios operativos, responsables ni evidencia aplicable.</t>
  </si>
  <si>
    <t>El criterio «Participación de trabajadores en el diseño de turnos» se aborda de manera informal o mediante documentos aislados, incompletos o desactualizados, sin alcance ni responsables claros.</t>
  </si>
  <si>
    <t>El criterio «Participación de trabajadores en el diseño de turnos» está formalmente definido, pero cubre solo parte del alcance o presenta brechas relevantes de actualización, criterios, responsables o aprobación.</t>
  </si>
  <si>
    <t>El criterio «Participación de trabajadores en el diseño de turnos» está definido, documentado, aprobado y vigente para la mayor parte del alcance; solo quedan brechas menores de cobertura o integración.</t>
  </si>
  <si>
    <t>El criterio «Participación de trabajadores en el diseño de turnos» está completamente formalizado, aprobado, vigente e integrado a la gestión, con alcance, parámetros, responsables y revisión periódica verificables mediante revisión documental y entrevista.</t>
  </si>
  <si>
    <t>El criterio «Límites de horas extra, extensiones y llamados» no está definido ni documentado; no existen criterios operativos, responsables ni evidencia aplicable.</t>
  </si>
  <si>
    <t>El criterio «Límites de horas extra, extensiones y llamados» se aborda de manera informal o mediante documentos aislados, incompletos o desactualizados, sin alcance ni responsables claros.</t>
  </si>
  <si>
    <t>El criterio «Límites de horas extra, extensiones y llamados» está formalmente definido, pero cubre solo parte del alcance o presenta brechas relevantes de actualización, criterios, responsables o aprobación.</t>
  </si>
  <si>
    <t>El criterio «Límites de horas extra, extensiones y llamados» está definido, documentado, aprobado y vigente para la mayor parte del alcance; solo quedan brechas menores de cobertura o integración.</t>
  </si>
  <si>
    <t>El criterio «Límites de horas extra, extensiones y llamados» está completamente formalizado, aprobado, vigente e integrado a la gestión, con alcance, parámetros, responsables y revisión periódica verificables mediante revisión documental.</t>
  </si>
  <si>
    <t>El control asociado a «Extensiones autorizadas antes de ocurrir» no opera en la práctica o, cuando se requiere, no genera la acción esperada.</t>
  </si>
  <si>
    <t>El control asociado a «Extensiones autorizadas antes de ocurrir» opera de forma esporádica y reactiva, depende de iniciativas individuales y carece de respuesta oportuna o registros consistentes.</t>
  </si>
  <si>
    <t>El control asociado a «Extensiones autorizadas antes de ocurrir» funciona parcialmente o de manera irregular; genera algunas acciones, pero presenta brechas relevantes de oportunidad, calidad, seguimiento o trazabilidad.</t>
  </si>
  <si>
    <t>El control asociado a «Extensiones autorizadas antes de ocurrir» funciona regularmente y genera la respuesta esperada en la mayoría de los casos; quedan desviaciones menores de oportunidad, cobertura o registro.</t>
  </si>
  <si>
    <t>El control asociado a «Extensiones autorizadas antes de ocurrir» funciona de manera confiable, oportuna y consistente en todos los casos aplicables, con acciones trazables, seguimiento y evidencia verificable mediante muestreo de registros.</t>
  </si>
  <si>
    <t>No se verifica el criterio «Seguimiento de horas acumuladas» y no existe evidencia de revisión del control o de sus resultados.</t>
  </si>
  <si>
    <t>El criterio «Seguimiento de horas acumuladas» se verifica solo de manera ocasional o informal, sin método, frecuencia, muestra ni seguimiento definidos.</t>
  </si>
  <si>
    <t>El criterio «Seguimiento de horas acumuladas» cuenta con verificaciones periódicas pero parciales, con cobertura o profundidad insuficiente y seguimiento inconsistente de los hallazgos.</t>
  </si>
  <si>
    <t>El criterio «Seguimiento de horas acumuladas» se verifica sistemáticamente en la mayor parte del alcance, con hallazgos registrados y acciones de seguimiento; quedan brechas menores.</t>
  </si>
  <si>
    <t>El criterio «Seguimiento de horas acumuladas» se verifica de forma sistemática, independiente y basada en riesgo en todo el alcance, mediante prueba del control, con cierre comprobado de hallazgos y retroalimentación al sistema.</t>
  </si>
  <si>
    <t>El criterio «Riesgo de traslado post-turno evaluado» no está definido ni documentado; no existen criterios operativos, responsables ni evidencia aplicable.</t>
  </si>
  <si>
    <t>El criterio «Riesgo de traslado post-turno evaluado» se aborda de manera informal o mediante documentos aislados, incompletos o desactualizados, sin alcance ni responsables claros.</t>
  </si>
  <si>
    <t>El criterio «Riesgo de traslado post-turno evaluado» está formalmente definido, pero cubre solo parte del alcance o presenta brechas relevantes de actualización, criterios, responsables o aprobación.</t>
  </si>
  <si>
    <t>El criterio «Riesgo de traslado post-turno evaluado» está definido, documentado, aprobado y vigente para la mayor parte del alcance; solo quedan brechas menores de cobertura o integración.</t>
  </si>
  <si>
    <t>El criterio «Riesgo de traslado post-turno evaluado» está completamente formalizado, aprobado, vigente e integrado a la gestión, con alcance, parámetros, responsables y revisión periódica verificables mediante revisión documental.</t>
  </si>
  <si>
    <t>El control asociado a «Controles de traslado aplicados» no opera en la práctica o, cuando se requiere, no genera la acción esperada.</t>
  </si>
  <si>
    <t>El control asociado a «Controles de traslado aplicados» opera de forma esporádica y reactiva, depende de iniciativas individuales y carece de respuesta oportuna o registros consistentes.</t>
  </si>
  <si>
    <t>El control asociado a «Controles de traslado aplicados» funciona parcialmente o de manera irregular; genera algunas acciones, pero presenta brechas relevantes de oportunidad, calidad, seguimiento o trazabilidad.</t>
  </si>
  <si>
    <t>El control asociado a «Controles de traslado aplicados» funciona regularmente y genera la respuesta esperada en la mayoría de los casos; quedan desviaciones menores de oportunidad, cobertura o registro.</t>
  </si>
  <si>
    <t>El control asociado a «Controles de traslado aplicados» funciona de manera confiable, oportuna y consistente en todos los casos aplicables, con acciones trazables, seguimiento y evidencia verificable mediante observación en terreno.</t>
  </si>
  <si>
    <t>El criterio «Descanso mínimo entre turnos cumplido» no se aplica en la práctica y no existe evidencia de implementación.</t>
  </si>
  <si>
    <t>El criterio «Descanso mínimo entre turnos cumplido» se aplica solo en casos aislados o de manera informal, sin cobertura planificada ni consistencia entre áreas, turnos o personas expuestas.</t>
  </si>
  <si>
    <t>El criterio «Descanso mínimo entre turnos cumplido» está implementado parcialmente; alcanza parte de la población o del proceso, con brechas relevantes de cobertura, frecuencia o registro.</t>
  </si>
  <si>
    <t>El criterio «Descanso mínimo entre turnos cumplido» está implementado de forma regular en la mayor parte del alcance y con evidencia suficiente; persisten brechas menores de cobertura o consistencia.</t>
  </si>
  <si>
    <t>El criterio «Descanso mínimo entre turnos cumplido» está implementado sistemáticamente en todo el alcance aplicable, incluidos turnos y contratistas cuando corresponde, con registros completos y verificación mediante análisis de datos.</t>
  </si>
  <si>
    <t>El criterio «Evaluación antes del turno con criterios objetivos» no está definido ni documentado; no existen criterios operativos, responsables ni evidencia aplicable.</t>
  </si>
  <si>
    <t>El criterio «Evaluación antes del turno con criterios objetivos» se aborda de manera informal o mediante documentos aislados, incompletos o desactualizados, sin alcance ni responsables claros.</t>
  </si>
  <si>
    <t>El criterio «Evaluación antes del turno con criterios objetivos» está formalmente definido, pero cubre solo parte del alcance o presenta brechas relevantes de actualización, criterios, responsables o aprobación.</t>
  </si>
  <si>
    <t>El criterio «Evaluación antes del turno con criterios objetivos» está definido, documentado, aprobado y vigente para la mayor parte del alcance; solo quedan brechas menores de cobertura o integración.</t>
  </si>
  <si>
    <t>El criterio «Evaluación antes del turno con criterios objetivos» está completamente formalizado, aprobado, vigente e integrado a la gestión, con alcance, parámetros, responsables y revisión periódica verificables mediante revisión documental y entrevista.</t>
  </si>
  <si>
    <t>El criterio «Cobertura total de la evaluación antes del turno» no se aplica en la práctica y no existe evidencia de implementación.</t>
  </si>
  <si>
    <t>El criterio «Cobertura total de la evaluación antes del turno» se aplica solo en casos aislados o de manera informal, sin cobertura planificada ni consistencia entre áreas, turnos o personas expuestas.</t>
  </si>
  <si>
    <t>El criterio «Cobertura total de la evaluación antes del turno» está implementado parcialmente; alcanza parte de la población o del proceso, con brechas relevantes de cobertura, frecuencia o registro.</t>
  </si>
  <si>
    <t>El criterio «Cobertura total de la evaluación antes del turno» está implementado de forma regular en la mayor parte del alcance y con evidencia suficiente; persisten brechas menores de cobertura o consistencia.</t>
  </si>
  <si>
    <t>El criterio «Cobertura total de la evaluación antes del turno» está implementado sistemáticamente en todo el alcance aplicable, incluidos turnos y contratistas cuando corresponde, con registros completos y verificación mediante muestreo de registros.</t>
  </si>
  <si>
    <t>El control asociado a «Acción aplicada cuando se detecta riesgo» no opera en la práctica o, cuando se requiere, no genera la acción esperada.</t>
  </si>
  <si>
    <t>El control asociado a «Acción aplicada cuando se detecta riesgo» opera de forma esporádica y reactiva, depende de iniciativas individuales y carece de respuesta oportuna o registros consistentes.</t>
  </si>
  <si>
    <t>El control asociado a «Acción aplicada cuando se detecta riesgo» funciona parcialmente o de manera irregular; genera algunas acciones, pero presenta brechas relevantes de oportunidad, calidad, seguimiento o trazabilidad.</t>
  </si>
  <si>
    <t>El control asociado a «Acción aplicada cuando se detecta riesgo» funciona regularmente y genera la respuesta esperada en la mayoría de los casos; quedan desviaciones menores de oportunidad, cobertura o registro.</t>
  </si>
  <si>
    <t>El control asociado a «Acción aplicada cuando se detecta riesgo» funciona de manera confiable, oportuna y consistente en todos los casos aplicables, con acciones trazables, seguimiento y evidencia verificable mediante reconstrucción de casos.</t>
  </si>
  <si>
    <t>No se verifica el criterio «Verificación independiente de la evaluación antes del turno» y no existe evidencia de revisión del control o de sus resultados.</t>
  </si>
  <si>
    <t>El criterio «Verificación independiente de la evaluación antes del turno» se verifica solo de manera ocasional o informal, sin método, frecuencia, muestra ni seguimiento definidos.</t>
  </si>
  <si>
    <t>El criterio «Verificación independiente de la evaluación antes del turno» cuenta con verificaciones periódicas pero parciales, con cobertura o profundidad insuficiente y seguimiento inconsistente de los hallazgos.</t>
  </si>
  <si>
    <t>El criterio «Verificación independiente de la evaluación antes del turno» se verifica sistemáticamente en la mayor parte del alcance, con hallazgos registrados y acciones de seguimiento; quedan brechas menores.</t>
  </si>
  <si>
    <t>El criterio «Verificación independiente de la evaluación antes del turno» se verifica de forma sistemática, independiente y basada en riesgo en todo el alcance, mediante observación en terreno, con cierre comprobado de hallazgos y retroalimentación al sistema.</t>
  </si>
  <si>
    <t>El criterio «Capacidad predictiva de la evaluación antes del turno» no muestra resultados medibles o no se evalúa su efecto sobre el riesgo y el desempeño.</t>
  </si>
  <si>
    <t>El criterio «Capacidad predictiva de la evaluación antes del turno» presenta resultados anecdóticos o aislados, sin línea base, indicadores comparables ni evidencia de mejora atribuible.</t>
  </si>
  <si>
    <t>El criterio «Capacidad predictiva de la evaluación antes del turno» dispone de algunos indicadores o comparaciones, pero los resultados son parciales, inestables o insuficientes para demostrar efectividad sostenida.</t>
  </si>
  <si>
    <t>El criterio «Capacidad predictiva de la evaluación antes del turno» muestra una mejora medible y mayormente sostenida en los resultados; persisten brechas menores o variaciones que requieren seguimiento.</t>
  </si>
  <si>
    <t>El criterio «Capacidad predictiva de la evaluación antes del turno» demuestra efectividad sostenida con datos comparables de al menos tres períodos, tendencia favorable y ausencia o reducción comprobada de recurrencias, verificada mediante análisis de datos.</t>
  </si>
  <si>
    <t>El criterio «Prueba objetiva de alerta usada como complemento» no está definido ni documentado; no existen criterios operativos, responsables ni evidencia aplicable.</t>
  </si>
  <si>
    <t>El criterio «Prueba objetiva de alerta usada como complemento» se aborda de manera informal o mediante documentos aislados, incompletos o desactualizados, sin alcance ni responsables claros.</t>
  </si>
  <si>
    <t>El criterio «Prueba objetiva de alerta usada como complemento» está formalmente definido, pero cubre solo parte del alcance o presenta brechas relevantes de actualización, criterios, responsables o aprobación.</t>
  </si>
  <si>
    <t>El criterio «Prueba objetiva de alerta usada como complemento» está definido, documentado, aprobado y vigente para la mayor parte del alcance; solo quedan brechas menores de cobertura o integración.</t>
  </si>
  <si>
    <t>El criterio «Prueba objetiva de alerta usada como complemento» está completamente formalizado, aprobado, vigente e integrado a la gestión, con alcance, parámetros, responsables y revisión periódica verificables mediante revisión documental.</t>
  </si>
  <si>
    <t>El control asociado a «Resultados fuera de umbral intervenidos» no opera en la práctica o, cuando se requiere, no genera la acción esperada.</t>
  </si>
  <si>
    <t>El control asociado a «Resultados fuera de umbral intervenidos» opera de forma esporádica y reactiva, depende de iniciativas individuales y carece de respuesta oportuna o registros consistentes.</t>
  </si>
  <si>
    <t>El control asociado a «Resultados fuera de umbral intervenidos» funciona parcialmente o de manera irregular; genera algunas acciones, pero presenta brechas relevantes de oportunidad, calidad, seguimiento o trazabilidad.</t>
  </si>
  <si>
    <t>El control asociado a «Resultados fuera de umbral intervenidos» funciona regularmente y genera la respuesta esperada en la mayoría de los casos; quedan desviaciones menores de oportunidad, cobertura o registro.</t>
  </si>
  <si>
    <t>El control asociado a «Resultados fuera de umbral intervenidos» funciona de manera confiable, oportuna y consistente en todos los casos aplicables, con acciones trazables, seguimiento y evidencia verificable mediante reconstrucción de casos.</t>
  </si>
  <si>
    <t>El criterio «Auto-reporte de fatiga sin represalia en uso» no se aplica en la práctica y no existe evidencia de implementación.</t>
  </si>
  <si>
    <t>El criterio «Auto-reporte de fatiga sin represalia en uso» se aplica solo en casos aislados o de manera informal, sin cobertura planificada ni consistencia entre áreas, turnos o personas expuestas.</t>
  </si>
  <si>
    <t>El criterio «Auto-reporte de fatiga sin represalia en uso» está implementado parcialmente; alcanza parte de la población o del proceso, con brechas relevantes de cobertura, frecuencia o registro.</t>
  </si>
  <si>
    <t>El criterio «Auto-reporte de fatiga sin represalia en uso» está implementado de forma regular en la mayor parte del alcance y con evidencia suficiente; persisten brechas menores de cobertura o consistencia.</t>
  </si>
  <si>
    <t>El criterio «Auto-reporte de fatiga sin represalia en uso» está implementado sistemáticamente en todo el alcance aplicable, incluidos turnos y contratistas cuando corresponde, con registros completos y verificación mediante muestreo de registros y entrevista.</t>
  </si>
  <si>
    <t>El criterio «Guía de signos de fatiga para supervisores» no está definido ni documentado; no existen criterios operativos, responsables ni evidencia aplicable.</t>
  </si>
  <si>
    <t>El criterio «Guía de signos de fatiga para supervisores» se aborda de manera informal o mediante documentos aislados, incompletos o desactualizados, sin alcance ni responsables claros.</t>
  </si>
  <si>
    <t>El criterio «Guía de signos de fatiga para supervisores» está formalmente definido, pero cubre solo parte del alcance o presenta brechas relevantes de actualización, criterios, responsables o aprobación.</t>
  </si>
  <si>
    <t>El criterio «Guía de signos de fatiga para supervisores» está definido, documentado, aprobado y vigente para la mayor parte del alcance; solo quedan brechas menores de cobertura o integración.</t>
  </si>
  <si>
    <t>El criterio «Guía de signos de fatiga para supervisores» está completamente formalizado, aprobado, vigente e integrado a la gestión, con alcance, parámetros, responsables y revisión periódica verificables mediante revisión documental y entrevista.</t>
  </si>
  <si>
    <t>El control asociado a «Interacciones en horario crítico que generan acción» no opera en la práctica o, cuando se requiere, no genera la acción esperada.</t>
  </si>
  <si>
    <t>El control asociado a «Interacciones en horario crítico que generan acción» opera de forma esporádica y reactiva, depende de iniciativas individuales y carece de respuesta oportuna o registros consistentes.</t>
  </si>
  <si>
    <t>El control asociado a «Interacciones en horario crítico que generan acción» funciona parcialmente o de manera irregular; genera algunas acciones, pero presenta brechas relevantes de oportunidad, calidad, seguimiento o trazabilidad.</t>
  </si>
  <si>
    <t>El control asociado a «Interacciones en horario crítico que generan acción» funciona regularmente y genera la respuesta esperada en la mayoría de los casos; quedan desviaciones menores de oportunidad, cobertura o registro.</t>
  </si>
  <si>
    <t>El control asociado a «Interacciones en horario crítico que generan acción» funciona de manera confiable, oportuna y consistente en todos los casos aplicables, con acciones trazables, seguimiento y evidencia verificable mediante observación en terreno.</t>
  </si>
  <si>
    <t>El criterio «Contenido específico de fatiga en charlas de inicio de turno» no se aplica en la práctica y no existe evidencia de implementación.</t>
  </si>
  <si>
    <t>El criterio «Contenido específico de fatiga en charlas de inicio de turno» se aplica solo en casos aislados o de manera informal, sin cobertura planificada ni consistencia entre áreas, turnos o personas expuestas.</t>
  </si>
  <si>
    <t>El criterio «Contenido específico de fatiga en charlas de inicio de turno» está implementado parcialmente; alcanza parte de la población o del proceso, con brechas relevantes de cobertura, frecuencia o registro.</t>
  </si>
  <si>
    <t>El criterio «Contenido específico de fatiga en charlas de inicio de turno» está implementado de forma regular en la mayor parte del alcance y con evidencia suficiente; persisten brechas menores de cobertura o consistencia.</t>
  </si>
  <si>
    <t>El criterio «Contenido específico de fatiga en charlas de inicio de turno» está implementado sistemáticamente en todo el alcance aplicable, incluidos turnos y contratistas cuando corresponde, con registros completos y verificación mediante observación en terreno.</t>
  </si>
  <si>
    <t>El criterio «Relevos previstos para tareas críticas» no está definido ni documentado; no existen criterios operativos, responsables ni evidencia aplicable.</t>
  </si>
  <si>
    <t>El criterio «Relevos previstos para tareas críticas» se aborda de manera informal o mediante documentos aislados, incompletos o desactualizados, sin alcance ni responsables claros.</t>
  </si>
  <si>
    <t>El criterio «Relevos previstos para tareas críticas» está formalmente definido, pero cubre solo parte del alcance o presenta brechas relevantes de actualización, criterios, responsables o aprobación.</t>
  </si>
  <si>
    <t>El criterio «Relevos previstos para tareas críticas» está definido, documentado, aprobado y vigente para la mayor parte del alcance; solo quedan brechas menores de cobertura o integración.</t>
  </si>
  <si>
    <t>El criterio «Relevos previstos para tareas críticas» está completamente formalizado, aprobado, vigente e integrado a la gestión, con alcance, parámetros, responsables y revisión periódica verificables mediante revisión documental y entrevista.</t>
  </si>
  <si>
    <t>El control asociado a «Retiro de la tarea dentro del tiempo objetivo» no opera en la práctica o, cuando se requiere, no genera la acción esperada.</t>
  </si>
  <si>
    <t>El control asociado a «Retiro de la tarea dentro del tiempo objetivo» opera de forma esporádica y reactiva, depende de iniciativas individuales y carece de respuesta oportuna o registros consistentes.</t>
  </si>
  <si>
    <t>El control asociado a «Retiro de la tarea dentro del tiempo objetivo» funciona parcialmente o de manera irregular; genera algunas acciones, pero presenta brechas relevantes de oportunidad, calidad, seguimiento o trazabilidad.</t>
  </si>
  <si>
    <t>El control asociado a «Retiro de la tarea dentro del tiempo objetivo» funciona regularmente y genera la respuesta esperada en la mayoría de los casos; quedan desviaciones menores de oportunidad, cobertura o registro.</t>
  </si>
  <si>
    <t>El control asociado a «Retiro de la tarea dentro del tiempo objetivo» funciona de manera confiable, oportuna y consistente en todos los casos aplicables, con acciones trazables, seguimiento y evidencia verificable mediante reconstrucción de casos.</t>
  </si>
  <si>
    <t>No se verifica el criterio «Prueba periódica de la disponibilidad de relevo» y no existe evidencia de revisión del control o de sus resultados.</t>
  </si>
  <si>
    <t>El criterio «Prueba periódica de la disponibilidad de relevo» se verifica solo de manera ocasional o informal, sin método, frecuencia, muestra ni seguimiento definidos.</t>
  </si>
  <si>
    <t>El criterio «Prueba periódica de la disponibilidad de relevo» cuenta con verificaciones periódicas pero parciales, con cobertura o profundidad insuficiente y seguimiento inconsistente de los hallazgos.</t>
  </si>
  <si>
    <t>El criterio «Prueba periódica de la disponibilidad de relevo» se verifica sistemáticamente en la mayor parte del alcance, con hallazgos registrados y acciones de seguimiento; quedan brechas menores.</t>
  </si>
  <si>
    <t>El criterio «Prueba periódica de la disponibilidad de relevo» se verifica de forma sistemática, independiente y basada en riesgo en todo el alcance, mediante prueba del control, con cierre comprobado de hallazgos y retroalimentación al sistema.</t>
  </si>
  <si>
    <t>El control asociado a «Retiro que se mantiene con dotación reducida» deja de operar ante contingencias, dotación reducida, emergencias u otras condiciones anómalas.</t>
  </si>
  <si>
    <t>El control asociado a «Retiro que se mantiene con dotación reducida» se mantiene solo mediante respuestas improvisadas, sin criterios de excepción, autorización ni controles compensatorios definidos.</t>
  </si>
  <si>
    <t>El control asociado a «Retiro que se mantiene con dotación reducida» se mantiene parcialmente en condiciones anómalas, pero presenta brechas relevantes de recursos, cobertura, autorización o verificación de controles compensatorios.</t>
  </si>
  <si>
    <t>El control asociado a «Retiro que se mantiene con dotación reducida» se mantiene en la mayoría de las condiciones anómalas, con excepciones autorizadas y controles compensatorios; quedan brechas menores de consistencia.</t>
  </si>
  <si>
    <t>El control asociado a «Retiro que se mantiene con dotación reducida» se mantiene plenamente efectivo en condiciones normales y anómalas, con recursos disponibles, excepciones controladas, pruebas periódicas y evidencia verificable mediante reconstrucción de casos.</t>
  </si>
  <si>
    <t>El criterio «Restricciones en ventana circadiana» no está definido ni documentado; no existen criterios operativos, responsables ni evidencia aplicable.</t>
  </si>
  <si>
    <t>El criterio «Restricciones en ventana circadiana» se aborda de manera informal o mediante documentos aislados, incompletos o desactualizados, sin alcance ni responsables claros.</t>
  </si>
  <si>
    <t>El criterio «Restricciones en ventana circadiana» está formalmente definido, pero cubre solo parte del alcance o presenta brechas relevantes de actualización, criterios, responsables o aprobación.</t>
  </si>
  <si>
    <t>El criterio «Restricciones en ventana circadiana» está definido, documentado, aprobado y vigente para la mayor parte del alcance; solo quedan brechas menores de cobertura o integración.</t>
  </si>
  <si>
    <t>El criterio «Restricciones en ventana circadiana» está completamente formalizado, aprobado, vigente e integrado a la gestión, con alcance, parámetros, responsables y revisión periódica verificables mediante revisión documental.</t>
  </si>
  <si>
    <t>El control asociado a «Restricciones aplicadas en la programación» no opera en la práctica o, cuando se requiere, no genera la acción esperada.</t>
  </si>
  <si>
    <t>El control asociado a «Restricciones aplicadas en la programación» opera de forma esporádica y reactiva, depende de iniciativas individuales y carece de respuesta oportuna o registros consistentes.</t>
  </si>
  <si>
    <t>El control asociado a «Restricciones aplicadas en la programación» funciona parcialmente o de manera irregular; genera algunas acciones, pero presenta brechas relevantes de oportunidad, calidad, seguimiento o trazabilidad.</t>
  </si>
  <si>
    <t>El control asociado a «Restricciones aplicadas en la programación» funciona regularmente y genera la respuesta esperada en la mayoría de los casos; quedan desviaciones menores de oportunidad, cobertura o registro.</t>
  </si>
  <si>
    <t>El control asociado a «Restricciones aplicadas en la programación» funciona de manera confiable, oportuna y consistente en todos los casos aplicables, con acciones trazables, seguimiento y evidencia verificable mediante muestreo de registros.</t>
  </si>
  <si>
    <t>El criterio «Alcance de la detección definido por riesgo» no está definido ni documentado; no existen criterios operativos, responsables ni evidencia aplicable.</t>
  </si>
  <si>
    <t>El criterio «Alcance de la detección definido por riesgo» se aborda de manera informal o mediante documentos aislados, incompletos o desactualizados, sin alcance ni responsables claros.</t>
  </si>
  <si>
    <t>El criterio «Alcance de la detección definido por riesgo» está formalmente definido, pero cubre solo parte del alcance o presenta brechas relevantes de actualización, criterios, responsables o aprobación.</t>
  </si>
  <si>
    <t>El criterio «Alcance de la detección definido por riesgo» está definido, documentado, aprobado y vigente para la mayor parte del alcance; solo quedan brechas menores de cobertura o integración.</t>
  </si>
  <si>
    <t>El criterio «Alcance de la detección definido por riesgo» está completamente formalizado, aprobado, vigente e integrado a la gestión, con alcance, parámetros, responsables y revisión periódica verificables mediante revisión documental.</t>
  </si>
  <si>
    <t>El criterio «Tecnología en uso y operativa (no solo instalada)» no se aplica en la práctica y no existe evidencia de implementación.</t>
  </si>
  <si>
    <t>El criterio «Tecnología en uso y operativa (no solo instalada)» se aplica solo en casos aislados o de manera informal, sin cobertura planificada ni consistencia entre áreas, turnos o personas expuestas.</t>
  </si>
  <si>
    <t>El criterio «Tecnología en uso y operativa (no solo instalada)» está implementado parcialmente; alcanza parte de la población o del proceso, con brechas relevantes de cobertura, frecuencia o registro.</t>
  </si>
  <si>
    <t>El criterio «Tecnología en uso y operativa (no solo instalada)» está implementado de forma regular en la mayor parte del alcance y con evidencia suficiente; persisten brechas menores de cobertura o consistencia.</t>
  </si>
  <si>
    <t>El criterio «Tecnología en uso y operativa (no solo instalada)» está implementado sistemáticamente en todo el alcance aplicable, incluidos turnos y contratistas cuando corresponde, con registros completos y verificación mediante análisis de datos.</t>
  </si>
  <si>
    <t>El control asociado a «Alertas transmitidas a tiempo» no opera en la práctica o, cuando se requiere, no genera la acción esperada.</t>
  </si>
  <si>
    <t>El control asociado a «Alertas transmitidas a tiempo» opera de forma esporádica y reactiva, depende de iniciativas individuales y carece de respuesta oportuna o registros consistentes.</t>
  </si>
  <si>
    <t>El control asociado a «Alertas transmitidas a tiempo» funciona parcialmente o de manera irregular; genera algunas acciones, pero presenta brechas relevantes de oportunidad, calidad, seguimiento o trazabilidad.</t>
  </si>
  <si>
    <t>El control asociado a «Alertas transmitidas a tiempo» funciona regularmente y genera la respuesta esperada en la mayoría de los casos; quedan desviaciones menores de oportunidad, cobertura o registro.</t>
  </si>
  <si>
    <t>El control asociado a «Alertas transmitidas a tiempo» funciona de manera confiable, oportuna y consistente en todos los casos aplicables, con acciones trazables, seguimiento y evidencia verificable mediante prueba del control.</t>
  </si>
  <si>
    <t>El criterio «Respuesta a alertas definida por nivel» no está definido ni documentado; no existen criterios operativos, responsables ni evidencia aplicable.</t>
  </si>
  <si>
    <t>El criterio «Respuesta a alertas definida por nivel» se aborda de manera informal o mediante documentos aislados, incompletos o desactualizados, sin alcance ni responsables claros.</t>
  </si>
  <si>
    <t>El criterio «Respuesta a alertas definida por nivel» está formalmente definido, pero cubre solo parte del alcance o presenta brechas relevantes de actualización, criterios, responsables o aprobación.</t>
  </si>
  <si>
    <t>El criterio «Respuesta a alertas definida por nivel» está definido, documentado, aprobado y vigente para la mayor parte del alcance; solo quedan brechas menores de cobertura o integración.</t>
  </si>
  <si>
    <t>El criterio «Respuesta a alertas definida por nivel» está completamente formalizado, aprobado, vigente e integrado a la gestión, con alcance, parámetros, responsables y revisión periódica verificables mediante revisión documental y entrevista.</t>
  </si>
  <si>
    <t>El control asociado a «Alertas intervenidas dentro del tiempo objetivo» no opera en la práctica o, cuando se requiere, no genera la acción esperada.</t>
  </si>
  <si>
    <t>El control asociado a «Alertas intervenidas dentro del tiempo objetivo» opera de forma esporádica y reactiva, depende de iniciativas individuales y carece de respuesta oportuna o registros consistentes.</t>
  </si>
  <si>
    <t>El control asociado a «Alertas intervenidas dentro del tiempo objetivo» funciona parcialmente o de manera irregular; genera algunas acciones, pero presenta brechas relevantes de oportunidad, calidad, seguimiento o trazabilidad.</t>
  </si>
  <si>
    <t>El control asociado a «Alertas intervenidas dentro del tiempo objetivo» funciona regularmente y genera la respuesta esperada en la mayoría de los casos; quedan desviaciones menores de oportunidad, cobertura o registro.</t>
  </si>
  <si>
    <t>El control asociado a «Alertas intervenidas dentro del tiempo objetivo» funciona de manera confiable, oportuna y consistente en todos los casos aplicables, con acciones trazables, seguimiento y evidencia verificable mediante reconstrucción de casos.</t>
  </si>
  <si>
    <t>No se verifica el criterio «Calidad real de la intervención verificada» y no existe evidencia de revisión del control o de sus resultados.</t>
  </si>
  <si>
    <t>El criterio «Calidad real de la intervención verificada» se verifica solo de manera ocasional o informal, sin método, frecuencia, muestra ni seguimiento definidos.</t>
  </si>
  <si>
    <t>El criterio «Calidad real de la intervención verificada» cuenta con verificaciones periódicas pero parciales, con cobertura o profundidad insuficiente y seguimiento inconsistente de los hallazgos.</t>
  </si>
  <si>
    <t>El criterio «Calidad real de la intervención verificada» se verifica sistemáticamente en la mayor parte del alcance, con hallazgos registrados y acciones de seguimiento; quedan brechas menores.</t>
  </si>
  <si>
    <t>El criterio «Calidad real de la intervención verificada» se verifica de forma sistemática, independiente y basada en riesgo en todo el alcance, mediante reconstrucción de casos, con cierre comprobado de hallazgos y retroalimentación al sistema.</t>
  </si>
  <si>
    <t>El criterio «Menor recurrencia de alertas tras intervención» no muestra resultados medibles o no se evalúa su efecto sobre el riesgo y el desempeño.</t>
  </si>
  <si>
    <t>El criterio «Menor recurrencia de alertas tras intervención» presenta resultados anecdóticos o aislados, sin línea base, indicadores comparables ni evidencia de mejora atribuible.</t>
  </si>
  <si>
    <t>El criterio «Menor recurrencia de alertas tras intervención» dispone de algunos indicadores o comparaciones, pero los resultados son parciales, inestables o insuficientes para demostrar efectividad sostenida.</t>
  </si>
  <si>
    <t>El criterio «Menor recurrencia de alertas tras intervención» muestra una mejora medible y mayormente sostenida en los resultados; persisten brechas menores o variaciones que requieren seguimiento.</t>
  </si>
  <si>
    <t>El criterio «Menor recurrencia de alertas tras intervención» demuestra efectividad sostenida con datos comparables de al menos tres períodos, tendencia favorable y ausencia o reducción comprobada de recurrencias, verificada mediante análisis de datos.</t>
  </si>
  <si>
    <t>El control asociado a «Respuesta sostenida con alta carga de alertas» deja de operar ante contingencias, dotación reducida, emergencias u otras condiciones anómalas.</t>
  </si>
  <si>
    <t>El control asociado a «Respuesta sostenida con alta carga de alertas» se mantiene solo mediante respuestas improvisadas, sin criterios de excepción, autorización ni controles compensatorios definidos.</t>
  </si>
  <si>
    <t>El control asociado a «Respuesta sostenida con alta carga de alertas» se mantiene parcialmente en condiciones anómalas, pero presenta brechas relevantes de recursos, cobertura, autorización o verificación de controles compensatorios.</t>
  </si>
  <si>
    <t>El control asociado a «Respuesta sostenida con alta carga de alertas» se mantiene en la mayoría de las condiciones anómalas, con excepciones autorizadas y controles compensatorios; quedan brechas menores de consistencia.</t>
  </si>
  <si>
    <t>El control asociado a «Respuesta sostenida con alta carga de alertas» se mantiene plenamente efectivo en condiciones normales y anómalas, con recursos disponibles, excepciones controladas, pruebas periódicas y evidencia verificable mediante análisis de datos.</t>
  </si>
  <si>
    <t>El criterio «Menos alertas en ventana circadiana baja» no muestra resultados medibles o no se evalúa su efecto sobre el riesgo y el desempeño.</t>
  </si>
  <si>
    <t>El criterio «Menos alertas en ventana circadiana baja» presenta resultados anecdóticos o aislados, sin línea base, indicadores comparables ni evidencia de mejora atribuible.</t>
  </si>
  <si>
    <t>El criterio «Menos alertas en ventana circadiana baja» dispone de algunos indicadores o comparaciones, pero los resultados son parciales, inestables o insuficientes para demostrar efectividad sostenida.</t>
  </si>
  <si>
    <t>El criterio «Menos alertas en ventana circadiana baja» muestra una mejora medible y mayormente sostenida en los resultados; persisten brechas menores o variaciones que requieren seguimiento.</t>
  </si>
  <si>
    <t>El criterio «Menos alertas en ventana circadiana baja» demuestra efectividad sostenida con datos comparables de al menos tres períodos, tendencia favorable y ausencia o reducción comprobada de recurrencias, verificada mediante análisis de datos.</t>
  </si>
  <si>
    <t>El criterio «Acciones diferenciadas para fatiga y somnolencia» no está definido ni documentado; no existen criterios operativos, responsables ni evidencia aplicable.</t>
  </si>
  <si>
    <t>El criterio «Acciones diferenciadas para fatiga y somnolencia» se aborda de manera informal o mediante documentos aislados, incompletos o desactualizados, sin alcance ni responsables claros.</t>
  </si>
  <si>
    <t>El criterio «Acciones diferenciadas para fatiga y somnolencia» está formalmente definido, pero cubre solo parte del alcance o presenta brechas relevantes de actualización, criterios, responsables o aprobación.</t>
  </si>
  <si>
    <t>El criterio «Acciones diferenciadas para fatiga y somnolencia» está definido, documentado, aprobado y vigente para la mayor parte del alcance; solo quedan brechas menores de cobertura o integración.</t>
  </si>
  <si>
    <t>El criterio «Acciones diferenciadas para fatiga y somnolencia» está completamente formalizado, aprobado, vigente e integrado a la gestión, con alcance, parámetros, responsables y revisión periódica verificables mediante revisión documental y entrevista.</t>
  </si>
  <si>
    <t>El criterio «Pausas y siestas en turno con criterio técnico» no está definido ni documentado; no existen criterios operativos, responsables ni evidencia aplicable.</t>
  </si>
  <si>
    <t>El criterio «Pausas y siestas en turno con criterio técnico» se aborda de manera informal o mediante documentos aislados, incompletos o desactualizados, sin alcance ni responsables claros.</t>
  </si>
  <si>
    <t>El criterio «Pausas y siestas en turno con criterio técnico» está formalmente definido, pero cubre solo parte del alcance o presenta brechas relevantes de actualización, criterios, responsables o aprobación.</t>
  </si>
  <si>
    <t>El criterio «Pausas y siestas en turno con criterio técnico» está definido, documentado, aprobado y vigente para la mayor parte del alcance; solo quedan brechas menores de cobertura o integración.</t>
  </si>
  <si>
    <t>El criterio «Pausas y siestas en turno con criterio técnico» está completamente formalizado, aprobado, vigente e integrado a la gestión, con alcance, parámetros, responsables y revisión periódica verificables mediante revisión documental y entrevista.</t>
  </si>
  <si>
    <t>El control asociado a «Uso real de pausas y salas de recuperación» no opera en la práctica o, cuando se requiere, no genera la acción esperada.</t>
  </si>
  <si>
    <t>El control asociado a «Uso real de pausas y salas de recuperación» opera de forma esporádica y reactiva, depende de iniciativas individuales y carece de respuesta oportuna o registros consistentes.</t>
  </si>
  <si>
    <t>El control asociado a «Uso real de pausas y salas de recuperación» funciona parcialmente o de manera irregular; genera algunas acciones, pero presenta brechas relevantes de oportunidad, calidad, seguimiento o trazabilidad.</t>
  </si>
  <si>
    <t>El control asociado a «Uso real de pausas y salas de recuperación» funciona regularmente y genera la respuesta esperada en la mayoría de los casos; quedan desviaciones menores de oportunidad, cobertura o registro.</t>
  </si>
  <si>
    <t>El control asociado a «Uso real de pausas y salas de recuperación» funciona de manera confiable, oportuna y consistente en todos los casos aplicables, con acciones trazables, seguimiento y evidencia verificable mediante observación en terreno.</t>
  </si>
  <si>
    <t>El criterio «Detección de trastornos del sueño con instrumento validado» no está definido ni documentado; no existen criterios operativos, responsables ni evidencia aplicable.</t>
  </si>
  <si>
    <t>El criterio «Detección de trastornos del sueño con instrumento validado» se aborda de manera informal o mediante documentos aislados, incompletos o desactualizados, sin alcance ni responsables claros.</t>
  </si>
  <si>
    <t>El criterio «Detección de trastornos del sueño con instrumento validado» está formalmente definido, pero cubre solo parte del alcance o presenta brechas relevantes de actualización, criterios, responsables o aprobación.</t>
  </si>
  <si>
    <t>El criterio «Detección de trastornos del sueño con instrumento validado» está definido, documentado, aprobado y vigente para la mayor parte del alcance; solo quedan brechas menores de cobertura o integración.</t>
  </si>
  <si>
    <t>El criterio «Detección de trastornos del sueño con instrumento validado» está completamente formalizado, aprobado, vigente e integrado a la gestión, con alcance, parámetros, responsables y revisión periódica verificables mediante revisión documental.</t>
  </si>
  <si>
    <t>El criterio «Cobertura de la detección en cargos críticos» no se aplica en la práctica y no existe evidencia de implementación.</t>
  </si>
  <si>
    <t>El criterio «Cobertura de la detección en cargos críticos» se aplica solo en casos aislados o de manera informal, sin cobertura planificada ni consistencia entre áreas, turnos o personas expuestas.</t>
  </si>
  <si>
    <t>El criterio «Cobertura de la detección en cargos críticos» está implementado parcialmente; alcanza parte de la población o del proceso, con brechas relevantes de cobertura, frecuencia o registro.</t>
  </si>
  <si>
    <t>El criterio «Cobertura de la detección en cargos críticos» está implementado de forma regular en la mayor parte del alcance y con evidencia suficiente; persisten brechas menores de cobertura o consistencia.</t>
  </si>
  <si>
    <t>El criterio «Cobertura de la detección en cargos críticos» está implementado sistemáticamente en todo el alcance aplicable, incluidos turnos y contratistas cuando corresponde, con registros completos y verificación mediante análisis de datos.</t>
  </si>
  <si>
    <t>El control asociado a «Casos positivos tratados y con aptitud determinada» no opera en la práctica o, cuando se requiere, no genera la acción esperada.</t>
  </si>
  <si>
    <t>El control asociado a «Casos positivos tratados y con aptitud determinada» opera de forma esporádica y reactiva, depende de iniciativas individuales y carece de respuesta oportuna o registros consistentes.</t>
  </si>
  <si>
    <t>El control asociado a «Casos positivos tratados y con aptitud determinada» funciona parcialmente o de manera irregular; genera algunas acciones, pero presenta brechas relevantes de oportunidad, calidad, seguimiento o trazabilidad.</t>
  </si>
  <si>
    <t>El control asociado a «Casos positivos tratados y con aptitud determinada» funciona regularmente y genera la respuesta esperada en la mayoría de los casos; quedan desviaciones menores de oportunidad, cobertura o registro.</t>
  </si>
  <si>
    <t>El control asociado a «Casos positivos tratados y con aptitud determinada» funciona de manera confiable, oportuna y consistente en todos los casos aplicables, con acciones trazables, seguimiento y evidencia verificable mediante análisis de datos.</t>
  </si>
  <si>
    <t>El criterio «Efecto del tratamiento en las alertas» no muestra resultados medibles o no se evalúa su efecto sobre el riesgo y el desempeño.</t>
  </si>
  <si>
    <t>El criterio «Efecto del tratamiento en las alertas» presenta resultados anecdóticos o aislados, sin línea base, indicadores comparables ni evidencia de mejora atribuible.</t>
  </si>
  <si>
    <t>El criterio «Efecto del tratamiento en las alertas» dispone de algunos indicadores o comparaciones, pero los resultados son parciales, inestables o insuficientes para demostrar efectividad sostenida.</t>
  </si>
  <si>
    <t>El criterio «Efecto del tratamiento en las alertas» muestra una mejora medible y mayormente sostenida en los resultados; persisten brechas menores o variaciones que requieren seguimiento.</t>
  </si>
  <si>
    <t>El criterio «Efecto del tratamiento en las alertas» demuestra efectividad sostenida con datos comparables de al menos tres períodos, tendencia favorable y ausencia o reducción comprobada de recurrencias, verificada mediante análisis de datos.</t>
  </si>
  <si>
    <t>El criterio «Declaración confidencial de medicamentos» no está definido ni documentado; no existen criterios operativos, responsables ni evidencia aplicable.</t>
  </si>
  <si>
    <t>El criterio «Declaración confidencial de medicamentos» se aborda de manera informal o mediante documentos aislados, incompletos o desactualizados, sin alcance ni responsables claros.</t>
  </si>
  <si>
    <t>El criterio «Declaración confidencial de medicamentos» está formalmente definido, pero cubre solo parte del alcance o presenta brechas relevantes de actualización, criterios, responsables o aprobación.</t>
  </si>
  <si>
    <t>El criterio «Declaración confidencial de medicamentos» está definido, documentado, aprobado y vigente para la mayor parte del alcance; solo quedan brechas menores de cobertura o integración.</t>
  </si>
  <si>
    <t>El criterio «Declaración confidencial de medicamentos» está completamente formalizado, aprobado, vigente e integrado a la gestión, con alcance, parámetros, responsables y revisión periódica verificables mediante revisión documental y entrevista.</t>
  </si>
  <si>
    <t>El criterio «Declaración conocida y usada» no se aplica en la práctica y no existe evidencia de implementación.</t>
  </si>
  <si>
    <t>El criterio «Declaración conocida y usada» se aplica solo en casos aislados o de manera informal, sin cobertura planificada ni consistencia entre áreas, turnos o personas expuestas.</t>
  </si>
  <si>
    <t>El criterio «Declaración conocida y usada» está implementado parcialmente; alcanza parte de la población o del proceso, con brechas relevantes de cobertura, frecuencia o registro.</t>
  </si>
  <si>
    <t>El criterio «Declaración conocida y usada» está implementado de forma regular en la mayor parte del alcance y con evidencia suficiente; persisten brechas menores de cobertura o consistencia.</t>
  </si>
  <si>
    <t>El criterio «Declaración conocida y usada» está implementado sistemáticamente en todo el alcance aplicable, incluidos turnos y contratistas cuando corresponde, con registros completos y verificación mediante entrevista estructurada.</t>
  </si>
  <si>
    <t>El criterio «Controles críticos definidos con estándar y responsable» no está definido ni documentado; no existen criterios operativos, responsables ni evidencia aplicable.</t>
  </si>
  <si>
    <t>El criterio «Controles críticos definidos con estándar y responsable» se aborda de manera informal o mediante documentos aislados, incompletos o desactualizados, sin alcance ni responsables claros.</t>
  </si>
  <si>
    <t>El criterio «Controles críticos definidos con estándar y responsable» está formalmente definido, pero cubre solo parte del alcance o presenta brechas relevantes de actualización, criterios, responsables o aprobación.</t>
  </si>
  <si>
    <t>El criterio «Controles críticos definidos con estándar y responsable» está definido, documentado, aprobado y vigente para la mayor parte del alcance; solo quedan brechas menores de cobertura o integración.</t>
  </si>
  <si>
    <t>El criterio «Controles críticos definidos con estándar y responsable» está completamente formalizado, aprobado, vigente e integrado a la gestión, con alcance, parámetros, responsables y revisión periódica verificables mediante revisión documental y entrevista.</t>
  </si>
  <si>
    <t>El criterio «Responsables de controles críticos activos» no se aplica en la práctica y no existe evidencia de implementación.</t>
  </si>
  <si>
    <t>El criterio «Responsables de controles críticos activos» se aplica solo en casos aislados o de manera informal, sin cobertura planificada ni consistencia entre áreas, turnos o personas expuestas.</t>
  </si>
  <si>
    <t>El criterio «Responsables de controles críticos activos» está implementado parcialmente; alcanza parte de la población o del proceso, con brechas relevantes de cobertura, frecuencia o registro.</t>
  </si>
  <si>
    <t>El criterio «Responsables de controles críticos activos» está implementado de forma regular en la mayor parte del alcance y con evidencia suficiente; persisten brechas menores de cobertura o consistencia.</t>
  </si>
  <si>
    <t>El criterio «Responsables de controles críticos activos» está implementado sistemáticamente en todo el alcance aplicable, incluidos turnos y contratistas cuando corresponde, con registros completos y verificación mediante entrevista estructurada.</t>
  </si>
  <si>
    <t>No se verifica el criterio «Verificaciones de controles ejecutadas y en terreno» y no existe evidencia de revisión del control o de sus resultados.</t>
  </si>
  <si>
    <t>El criterio «Verificaciones de controles ejecutadas y en terreno» se verifica solo de manera ocasional o informal, sin método, frecuencia, muestra ni seguimiento definidos.</t>
  </si>
  <si>
    <t>El criterio «Verificaciones de controles ejecutadas y en terreno» cuenta con verificaciones periódicas pero parciales, con cobertura o profundidad insuficiente y seguimiento inconsistente de los hallazgos.</t>
  </si>
  <si>
    <t>El criterio «Verificaciones de controles ejecutadas y en terreno» se verifica sistemáticamente en la mayor parte del alcance, con hallazgos registrados y acciones de seguimiento; quedan brechas menores.</t>
  </si>
  <si>
    <t>El criterio «Verificaciones de controles ejecutadas y en terreno» se verifica de forma sistemática, independiente y basada en riesgo en todo el alcance, mediante muestreo de registros, con cierre comprobado de hallazgos y retroalimentación al sistema.</t>
  </si>
  <si>
    <t>No se verifica el criterio «Verificaciones que miran el desempeño» y no existe evidencia de revisión del control o de sus resultados.</t>
  </si>
  <si>
    <t>El criterio «Verificaciones que miran el desempeño» se verifica solo de manera ocasional o informal, sin método, frecuencia, muestra ni seguimiento definidos.</t>
  </si>
  <si>
    <t>El criterio «Verificaciones que miran el desempeño» cuenta con verificaciones periódicas pero parciales, con cobertura o profundidad insuficiente y seguimiento inconsistente de los hallazgos.</t>
  </si>
  <si>
    <t>El criterio «Verificaciones que miran el desempeño» se verifica sistemáticamente en la mayor parte del alcance, con hallazgos registrados y acciones de seguimiento; quedan brechas menores.</t>
  </si>
  <si>
    <t>El criterio «Verificaciones que miran el desempeño» se verifica de forma sistemática, independiente y basada en riesgo en todo el alcance, mediante muestreo de registros, con cierre comprobado de hallazgos y retroalimentación al sistema.</t>
  </si>
  <si>
    <t>El criterio «Desempeño de controles analizado en el tiempo» no muestra resultados medibles o no se evalúa su efecto sobre el riesgo y el desempeño.</t>
  </si>
  <si>
    <t>El criterio «Desempeño de controles analizado en el tiempo» presenta resultados anecdóticos o aislados, sin línea base, indicadores comparables ni evidencia de mejora atribuible.</t>
  </si>
  <si>
    <t>El criterio «Desempeño de controles analizado en el tiempo» dispone de algunos indicadores o comparaciones, pero los resultados son parciales, inestables o insuficientes para demostrar efectividad sostenida.</t>
  </si>
  <si>
    <t>El criterio «Desempeño de controles analizado en el tiempo» muestra una mejora medible y mayormente sostenida en los resultados; persisten brechas menores o variaciones que requieren seguimiento.</t>
  </si>
  <si>
    <t>El criterio «Desempeño de controles analizado en el tiempo» demuestra efectividad sostenida con datos comparables de al menos tres períodos, tendencia favorable y ausencia o reducción comprobada de recurrencias, verificada mediante análisis de datos.</t>
  </si>
  <si>
    <t>El control asociado a «Respuesta inmediata ante desviaciones de controles» no opera en la práctica o, cuando se requiere, no genera la acción esperada.</t>
  </si>
  <si>
    <t>El control asociado a «Respuesta inmediata ante desviaciones de controles» opera de forma esporádica y reactiva, depende de iniciativas individuales y carece de respuesta oportuna o registros consistentes.</t>
  </si>
  <si>
    <t>El control asociado a «Respuesta inmediata ante desviaciones de controles» funciona parcialmente o de manera irregular; genera algunas acciones, pero presenta brechas relevantes de oportunidad, calidad, seguimiento o trazabilidad.</t>
  </si>
  <si>
    <t>El control asociado a «Respuesta inmediata ante desviaciones de controles» funciona regularmente y genera la respuesta esperada en la mayoría de los casos; quedan desviaciones menores de oportunidad, cobertura o registro.</t>
  </si>
  <si>
    <t>El control asociado a «Respuesta inmediata ante desviaciones de controles» funciona de manera confiable, oportuna y consistente en todos los casos aplicables, con acciones trazables, seguimiento y evidencia verificable mediante reconstrucción de casos.</t>
  </si>
  <si>
    <t>El criterio «Desviaciones de controles sin repetición» no muestra resultados medibles o no se evalúa su efecto sobre el riesgo y el desempeño.</t>
  </si>
  <si>
    <t>El criterio «Desviaciones de controles sin repetición» presenta resultados anecdóticos o aislados, sin línea base, indicadores comparables ni evidencia de mejora atribuible.</t>
  </si>
  <si>
    <t>El criterio «Desviaciones de controles sin repetición» dispone de algunos indicadores o comparaciones, pero los resultados son parciales, inestables o insuficientes para demostrar efectividad sostenida.</t>
  </si>
  <si>
    <t>El criterio «Desviaciones de controles sin repetición» muestra una mejora medible y mayormente sostenida en los resultados; persisten brechas menores o variaciones que requieren seguimiento.</t>
  </si>
  <si>
    <t>El criterio «Desviaciones de controles sin repetición» demuestra efectividad sostenida con datos comparables de al menos tres períodos, tendencia favorable y ausencia o reducción comprobada de recurrencias, verificada mediante análisis de datos.</t>
  </si>
  <si>
    <t>El control asociado a «Controles compensatorios ante falla de un control» deja de operar ante contingencias, dotación reducida, emergencias u otras condiciones anómalas.</t>
  </si>
  <si>
    <t>El control asociado a «Controles compensatorios ante falla de un control» se mantiene solo mediante respuestas improvisadas, sin criterios de excepción, autorización ni controles compensatorios definidos.</t>
  </si>
  <si>
    <t>El control asociado a «Controles compensatorios ante falla de un control» se mantiene parcialmente en condiciones anómalas, pero presenta brechas relevantes de recursos, cobertura, autorización o verificación de controles compensatorios.</t>
  </si>
  <si>
    <t>El control asociado a «Controles compensatorios ante falla de un control» se mantiene en la mayoría de las condiciones anómalas, con excepciones autorizadas y controles compensatorios; quedan brechas menores de consistencia.</t>
  </si>
  <si>
    <t>El control asociado a «Controles compensatorios ante falla de un control» se mantiene plenamente efectivo en condiciones normales y anómalas, con recursos disponibles, excepciones controladas, pruebas periódicas y evidencia verificable mediante reconstrucción de casos.</t>
  </si>
  <si>
    <t>El criterio «Disponibilidad técnica de la tecnología» no se aplica en la práctica y no existe evidencia de implementación.</t>
  </si>
  <si>
    <t>El criterio «Disponibilidad técnica de la tecnología» se aplica solo en casos aislados o de manera informal, sin cobertura planificada ni consistencia entre áreas, turnos o personas expuestas.</t>
  </si>
  <si>
    <t>El criterio «Disponibilidad técnica de la tecnología» está implementado parcialmente; alcanza parte de la población o del proceso, con brechas relevantes de cobertura, frecuencia o registro.</t>
  </si>
  <si>
    <t>El criterio «Disponibilidad técnica de la tecnología» está implementado de forma regular en la mayor parte del alcance y con evidencia suficiente; persisten brechas menores de cobertura o consistencia.</t>
  </si>
  <si>
    <t>El criterio «Disponibilidad técnica de la tecnología» está implementado sistemáticamente en todo el alcance aplicable, incluidos turnos y contratistas cuando corresponde, con registros completos y verificación mediante análisis de datos.</t>
  </si>
  <si>
    <t>No se verifica el criterio «Pruebas funcionales de la cadena completa» y no existe evidencia de revisión del control o de sus resultados.</t>
  </si>
  <si>
    <t>El criterio «Pruebas funcionales de la cadena completa» se verifica solo de manera ocasional o informal, sin método, frecuencia, muestra ni seguimiento definidos.</t>
  </si>
  <si>
    <t>El criterio «Pruebas funcionales de la cadena completa» cuenta con verificaciones periódicas pero parciales, con cobertura o profundidad insuficiente y seguimiento inconsistente de los hallazgos.</t>
  </si>
  <si>
    <t>El criterio «Pruebas funcionales de la cadena completa» se verifica sistemáticamente en la mayor parte del alcance, con hallazgos registrados y acciones de seguimiento; quedan brechas menores.</t>
  </si>
  <si>
    <t>El criterio «Pruebas funcionales de la cadena completa» se verifica de forma sistemática, independiente y basada en riesgo en todo el alcance, mediante prueba del control, con cierre comprobado de hallazgos y retroalimentación al sistema.</t>
  </si>
  <si>
    <t>El control asociado a «Detección de manipulación o desconexión» deja de operar ante contingencias, dotación reducida, emergencias u otras condiciones anómalas.</t>
  </si>
  <si>
    <t>El control asociado a «Detección de manipulación o desconexión» se mantiene solo mediante respuestas improvisadas, sin criterios de excepción, autorización ni controles compensatorios definidos.</t>
  </si>
  <si>
    <t>El control asociado a «Detección de manipulación o desconexión» se mantiene parcialmente en condiciones anómalas, pero presenta brechas relevantes de recursos, cobertura, autorización o verificación de controles compensatorios.</t>
  </si>
  <si>
    <t>El control asociado a «Detección de manipulación o desconexión» se mantiene en la mayoría de las condiciones anómalas, con excepciones autorizadas y controles compensatorios; quedan brechas menores de consistencia.</t>
  </si>
  <si>
    <t>El control asociado a «Detección de manipulación o desconexión» se mantiene plenamente efectivo en condiciones normales y anómalas, con recursos disponibles, excepciones controladas, pruebas periódicas y evidencia verificable mediante análisis de datos.</t>
  </si>
  <si>
    <t>El criterio «Datos de fatiga reunidos para análisis» no está definido ni documentado; no existen criterios operativos, responsables ni evidencia aplicable.</t>
  </si>
  <si>
    <t>El criterio «Datos de fatiga reunidos para análisis» se aborda de manera informal o mediante documentos aislados, incompletos o desactualizados, sin alcance ni responsables claros.</t>
  </si>
  <si>
    <t>El criterio «Datos de fatiga reunidos para análisis» está formalmente definido, pero cubre solo parte del alcance o presenta brechas relevantes de actualización, criterios, responsables o aprobación.</t>
  </si>
  <si>
    <t>El criterio «Datos de fatiga reunidos para análisis» está definido, documentado, aprobado y vigente para la mayor parte del alcance; solo quedan brechas menores de cobertura o integración.</t>
  </si>
  <si>
    <t>El criterio «Datos de fatiga reunidos para análisis» está completamente formalizado, aprobado, vigente e integrado a la gestión, con alcance, parámetros, responsables y revisión periódica verificables mediante revisión documental y prueba.</t>
  </si>
  <si>
    <t>El criterio «Análisis de datos que generan acciones preventivas» no muestra resultados medibles o no se evalúa su efecto sobre el riesgo y el desempeño.</t>
  </si>
  <si>
    <t>El criterio «Análisis de datos que generan acciones preventivas» presenta resultados anecdóticos o aislados, sin línea base, indicadores comparables ni evidencia de mejora atribuible.</t>
  </si>
  <si>
    <t>El criterio «Análisis de datos que generan acciones preventivas» dispone de algunos indicadores o comparaciones, pero los resultados son parciales, inestables o insuficientes para demostrar efectividad sostenida.</t>
  </si>
  <si>
    <t>El criterio «Análisis de datos que generan acciones preventivas» muestra una mejora medible y mayormente sostenida en los resultados; persisten brechas menores o variaciones que requieren seguimiento.</t>
  </si>
  <si>
    <t>El criterio «Análisis de datos que generan acciones preventivas» demuestra efectividad sostenida con datos comparables de al menos tres períodos, tendencia favorable y ausencia o reducción comprobada de recurrencias, verificada mediante análisis de datos.</t>
  </si>
  <si>
    <t>No se verifica el criterio «Falsas alertas y eventos no detectados analizados» y no existe evidencia de revisión del control o de sus resultados.</t>
  </si>
  <si>
    <t>El criterio «Falsas alertas y eventos no detectados analizados» se verifica solo de manera ocasional o informal, sin método, frecuencia, muestra ni seguimiento definidos.</t>
  </si>
  <si>
    <t>El criterio «Falsas alertas y eventos no detectados analizados» cuenta con verificaciones periódicas pero parciales, con cobertura o profundidad insuficiente y seguimiento inconsistente de los hallazgos.</t>
  </si>
  <si>
    <t>El criterio «Falsas alertas y eventos no detectados analizados» se verifica sistemáticamente en la mayor parte del alcance, con hallazgos registrados y acciones de seguimiento; quedan brechas menores.</t>
  </si>
  <si>
    <t>El criterio «Falsas alertas y eventos no detectados analizados» se verifica de forma sistemática, independiente y basada en riesgo en todo el alcance, mediante análisis de datos, con cierre comprobado de hallazgos y retroalimentación al sistema.</t>
  </si>
  <si>
    <t>El control asociado a «Alertas no ignoradas ni silenciadas» no opera en la práctica o, cuando se requiere, no genera la acción esperada.</t>
  </si>
  <si>
    <t>El control asociado a «Alertas no ignoradas ni silenciadas» opera de forma esporádica y reactiva, depende de iniciativas individuales y carece de respuesta oportuna o registros consistentes.</t>
  </si>
  <si>
    <t>El control asociado a «Alertas no ignoradas ni silenciadas» funciona parcialmente o de manera irregular; genera algunas acciones, pero presenta brechas relevantes de oportunidad, calidad, seguimiento o trazabilidad.</t>
  </si>
  <si>
    <t>El control asociado a «Alertas no ignoradas ni silenciadas» funciona regularmente y genera la respuesta esperada en la mayoría de los casos; quedan desviaciones menores de oportunidad, cobertura o registro.</t>
  </si>
  <si>
    <t>El control asociado a «Alertas no ignoradas ni silenciadas» funciona de manera confiable, oportuna y consistente en todos los casos aplicables, con acciones trazables, seguimiento y evidencia verificable mediante entrevista estructurada y datos.</t>
  </si>
  <si>
    <t>El criterio «Carga de trabajo y monotonía evaluadas» no está definido ni documentado; no existen criterios operativos, responsables ni evidencia aplicable.</t>
  </si>
  <si>
    <t>El criterio «Carga de trabajo y monotonía evaluadas» se aborda de manera informal o mediante documentos aislados, incompletos o desactualizados, sin alcance ni responsables claros.</t>
  </si>
  <si>
    <t>El criterio «Carga de trabajo y monotonía evaluadas» está formalmente definido, pero cubre solo parte del alcance o presenta brechas relevantes de actualización, criterios, responsables o aprobación.</t>
  </si>
  <si>
    <t>El criterio «Carga de trabajo y monotonía evaluadas» está definido, documentado, aprobado y vigente para la mayor parte del alcance; solo quedan brechas menores de cobertura o integración.</t>
  </si>
  <si>
    <t>El criterio «Carga de trabajo y monotonía evaluadas» está completamente formalizado, aprobado, vigente e integrado a la gestión, con alcance, parámetros, responsables y revisión periódica verificables mediante revisión documental y entrevista.</t>
  </si>
  <si>
    <t>El criterio «Medidas de diseño de la tarea implementadas» no se aplica en la práctica y no existe evidencia de implementación.</t>
  </si>
  <si>
    <t>El criterio «Medidas de diseño de la tarea implementadas» se aplica solo en casos aislados o de manera informal, sin cobertura planificada ni consistencia entre áreas, turnos o personas expuestas.</t>
  </si>
  <si>
    <t>El criterio «Medidas de diseño de la tarea implementadas» está implementado parcialmente; alcanza parte de la población o del proceso, con brechas relevantes de cobertura, frecuencia o registro.</t>
  </si>
  <si>
    <t>El criterio «Medidas de diseño de la tarea implementadas» está implementado de forma regular en la mayor parte del alcance y con evidencia suficiente; persisten brechas menores de cobertura o consistencia.</t>
  </si>
  <si>
    <t>El criterio «Medidas de diseño de la tarea implementadas» está implementado sistemáticamente en todo el alcance aplicable, incluidos turnos y contratistas cuando corresponde, con registros completos y verificación mediante observación en terreno.</t>
  </si>
  <si>
    <t>El criterio «Competencia práctica evaluada (no solo asistencia)» no se aplica en la práctica y no existe evidencia de implementación.</t>
  </si>
  <si>
    <t>El criterio «Competencia práctica evaluada (no solo asistencia)» se aplica solo en casos aislados o de manera informal, sin cobertura planificada ni consistencia entre áreas, turnos o personas expuestas.</t>
  </si>
  <si>
    <t>El criterio «Competencia práctica evaluada (no solo asistencia)» está implementado parcialmente; alcanza parte de la población o del proceso, con brechas relevantes de cobertura, frecuencia o registro.</t>
  </si>
  <si>
    <t>El criterio «Competencia práctica evaluada (no solo asistencia)» está implementado de forma regular en la mayor parte del alcance y con evidencia suficiente; persisten brechas menores de cobertura o consistencia.</t>
  </si>
  <si>
    <t>El criterio «Competencia práctica evaluada (no solo asistencia)» está implementado sistemáticamente en todo el alcance aplicable, incluidos turnos y contratistas cuando corresponde, con registros completos y verificación mediante muestreo de registros.</t>
  </si>
  <si>
    <t>El control asociado a «Intervención aplicada correctamente por supervisores» no opera en la práctica o, cuando se requiere, no genera la acción esperada.</t>
  </si>
  <si>
    <t>El control asociado a «Intervención aplicada correctamente por supervisores» opera de forma esporádica y reactiva, depende de iniciativas individuales y carece de respuesta oportuna o registros consistentes.</t>
  </si>
  <si>
    <t>El control asociado a «Intervención aplicada correctamente por supervisores» funciona parcialmente o de manera irregular; genera algunas acciones, pero presenta brechas relevantes de oportunidad, calidad, seguimiento o trazabilidad.</t>
  </si>
  <si>
    <t>El control asociado a «Intervención aplicada correctamente por supervisores» funciona regularmente y genera la respuesta esperada en la mayoría de los casos; quedan desviaciones menores de oportunidad, cobertura o registro.</t>
  </si>
  <si>
    <t>El control asociado a «Intervención aplicada correctamente por supervisores» funciona de manera confiable, oportuna y consistente en todos los casos aplicables, con acciones trazables, seguimiento y evidencia verificable mediante prueba del control.</t>
  </si>
  <si>
    <t>El criterio «Dotación que no depende de horas extra» no está definido ni documentado; no existen criterios operativos, responsables ni evidencia aplicable.</t>
  </si>
  <si>
    <t>El criterio «Dotación que no depende de horas extra» se aborda de manera informal o mediante documentos aislados, incompletos o desactualizados, sin alcance ni responsables claros.</t>
  </si>
  <si>
    <t>El criterio «Dotación que no depende de horas extra» está formalmente definido, pero cubre solo parte del alcance o presenta brechas relevantes de actualización, criterios, responsables o aprobación.</t>
  </si>
  <si>
    <t>El criterio «Dotación que no depende de horas extra» está definido, documentado, aprobado y vigente para la mayor parte del alcance; solo quedan brechas menores de cobertura o integración.</t>
  </si>
  <si>
    <t>El criterio «Dotación que no depende de horas extra» está completamente formalizado, aprobado, vigente e integrado a la gestión, con alcance, parámetros, responsables y revisión periódica verificables mediante análisis de datos.</t>
  </si>
  <si>
    <t>El control asociado a «Prácticas seguras observables en terreno» no opera en la práctica o, cuando se requiere, no genera la acción esperada.</t>
  </si>
  <si>
    <t>El control asociado a «Prácticas seguras observables en terreno» opera de forma esporádica y reactiva, depende de iniciativas individuales y carece de respuesta oportuna o registros consistentes.</t>
  </si>
  <si>
    <t>El control asociado a «Prácticas seguras observables en terreno» funciona parcialmente o de manera irregular; genera algunas acciones, pero presenta brechas relevantes de oportunidad, calidad, seguimiento o trazabilidad.</t>
  </si>
  <si>
    <t>El control asociado a «Prácticas seguras observables en terreno» funciona regularmente y genera la respuesta esperada en la mayoría de los casos; quedan desviaciones menores de oportunidad, cobertura o registro.</t>
  </si>
  <si>
    <t>El control asociado a «Prácticas seguras observables en terreno» funciona de manera confiable, oportuna y consistente en todos los casos aplicables, con acciones trazables, seguimiento y evidencia verificable mediante observación en terreno.</t>
  </si>
  <si>
    <t>El control asociado a «Conversación de riesgos en el trabajo diario» no opera en la práctica o, cuando se requiere, no genera la acción esperada.</t>
  </si>
  <si>
    <t>El control asociado a «Conversación de riesgos en el trabajo diario» opera de forma esporádica y reactiva, depende de iniciativas individuales y carece de respuesta oportuna o registros consistentes.</t>
  </si>
  <si>
    <t>El control asociado a «Conversación de riesgos en el trabajo diario» funciona parcialmente o de manera irregular; genera algunas acciones, pero presenta brechas relevantes de oportunidad, calidad, seguimiento o trazabilidad.</t>
  </si>
  <si>
    <t>El control asociado a «Conversación de riesgos en el trabajo diario» funciona regularmente y genera la respuesta esperada en la mayoría de los casos; quedan desviaciones menores de oportunidad, cobertura o registro.</t>
  </si>
  <si>
    <t>El control asociado a «Conversación de riesgos en el trabajo diario» funciona de manera confiable, oportuna y consistente en todos los casos aplicables, con acciones trazables, seguimiento y evidencia verificable mediante observación en terreno.</t>
  </si>
  <si>
    <t>El criterio «Percepción de los trabajadores sobre la gestión de la seguridad» no se aplica en la práctica y no existe evidencia de implementación.</t>
  </si>
  <si>
    <t>El criterio «Percepción de los trabajadores sobre la gestión de la seguridad» se aplica solo en casos aislados o de manera informal, sin cobertura planificada ni consistencia entre áreas, turnos o personas expuestas.</t>
  </si>
  <si>
    <t>El criterio «Percepción de los trabajadores sobre la gestión de la seguridad» está implementado parcialmente; alcanza parte de la población o del proceso, con brechas relevantes de cobertura, frecuencia o registro.</t>
  </si>
  <si>
    <t>El criterio «Percepción de los trabajadores sobre la gestión de la seguridad» está implementado de forma regular en la mayor parte del alcance y con evidencia suficiente; persisten brechas menores de cobertura o consistencia.</t>
  </si>
  <si>
    <t>El criterio «Percepción de los trabajadores sobre la gestión de la seguridad» está implementado sistemáticamente en todo el alcance aplicable, incluidos turnos y contratistas cuando corresponde, con registros completos y verificación mediante entrevista grupal.</t>
  </si>
  <si>
    <t>No se verifica el criterio «Percepciones contrastadas con hechos» y no existe evidencia de revisión del control o de sus resultados.</t>
  </si>
  <si>
    <t>El criterio «Percepciones contrastadas con hechos» se verifica solo de manera ocasional o informal, sin método, frecuencia, muestra ni seguimiento definidos.</t>
  </si>
  <si>
    <t>El criterio «Percepciones contrastadas con hechos» cuenta con verificaciones periódicas pero parciales, con cobertura o profundidad insuficiente y seguimiento inconsistente de los hallazgos.</t>
  </si>
  <si>
    <t>El criterio «Percepciones contrastadas con hechos» se verifica sistemáticamente en la mayor parte del alcance, con hallazgos registrados y acciones de seguimiento; quedan brechas menores.</t>
  </si>
  <si>
    <t>El criterio «Percepciones contrastadas con hechos» se verifica de forma sistemática, independiente y basada en riesgo en todo el alcance, mediante contraste de fuentes, con cierre comprobado de hallazgos y retroalimentación al sistema.</t>
  </si>
  <si>
    <t>El control asociado a «Decisiones bajo presión que priorizan la seguridad» no opera en la práctica o, cuando se requiere, no genera la acción esperada.</t>
  </si>
  <si>
    <t>El control asociado a «Decisiones bajo presión que priorizan la seguridad» opera de forma esporádica y reactiva, depende de iniciativas individuales y carece de respuesta oportuna o registros consistentes.</t>
  </si>
  <si>
    <t>El control asociado a «Decisiones bajo presión que priorizan la seguridad» funciona parcialmente o de manera irregular; genera algunas acciones, pero presenta brechas relevantes de oportunidad, calidad, seguimiento o trazabilidad.</t>
  </si>
  <si>
    <t>El control asociado a «Decisiones bajo presión que priorizan la seguridad» funciona regularmente y genera la respuesta esperada en la mayoría de los casos; quedan desviaciones menores de oportunidad, cobertura o registro.</t>
  </si>
  <si>
    <t>El control asociado a «Decisiones bajo presión que priorizan la seguridad» funciona de manera confiable, oportuna y consistente en todos los casos aplicables, con acciones trazables, seguimiento y evidencia verificable mediante reconstrucción de casos.</t>
  </si>
  <si>
    <t>El criterio «Controles que se mantienen en períodos de alta exigencia» no muestra resultados medibles o no se evalúa su efecto sobre el riesgo y el desempeño.</t>
  </si>
  <si>
    <t>El criterio «Controles que se mantienen en períodos de alta exigencia» presenta resultados anecdóticos o aislados, sin línea base, indicadores comparables ni evidencia de mejora atribuible.</t>
  </si>
  <si>
    <t>El criterio «Controles que se mantienen en períodos de alta exigencia» dispone de algunos indicadores o comparaciones, pero los resultados son parciales, inestables o insuficientes para demostrar efectividad sostenida.</t>
  </si>
  <si>
    <t>El criterio «Controles que se mantienen en períodos de alta exigencia» muestra una mejora medible y mayormente sostenida en los resultados; persisten brechas menores o variaciones que requieren seguimiento.</t>
  </si>
  <si>
    <t>El criterio «Controles que se mantienen en períodos de alta exigencia» demuestra efectividad sostenida con datos comparables de al menos tres períodos, tendencia favorable y ausencia o reducción comprobada de recurrencias, verificada mediante análisis de datos.</t>
  </si>
  <si>
    <t>El criterio «Participación y compromiso de los trabajadores» no se aplica en la práctica y no existe evidencia de implementación.</t>
  </si>
  <si>
    <t>El criterio «Participación y compromiso de los trabajadores» se aplica solo en casos aislados o de manera informal, sin cobertura planificada ni consistencia entre áreas, turnos o personas expuestas.</t>
  </si>
  <si>
    <t>El criterio «Participación y compromiso de los trabajadores» está implementado parcialmente; alcanza parte de la población o del proceso, con brechas relevantes de cobertura, frecuencia o registro.</t>
  </si>
  <si>
    <t>El criterio «Participación y compromiso de los trabajadores» está implementado de forma regular en la mayor parte del alcance y con evidencia suficiente; persisten brechas menores de cobertura o consistencia.</t>
  </si>
  <si>
    <t>El criterio «Participación y compromiso de los trabajadores» está implementado sistemáticamente en todo el alcance aplicable, incluidos turnos y contratistas cuando corresponde, con registros completos y verificación mediante entrevista y muestreo de registros.</t>
  </si>
  <si>
    <t>El control asociado a «Comunicación de riesgos comprensible y oportuna» no opera en la práctica o, cuando se requiere, no genera la acción esperada.</t>
  </si>
  <si>
    <t>El control asociado a «Comunicación de riesgos comprensible y oportuna» opera de forma esporádica y reactiva, depende de iniciativas individuales y carece de respuesta oportuna o registros consistentes.</t>
  </si>
  <si>
    <t>El control asociado a «Comunicación de riesgos comprensible y oportuna» funciona parcialmente o de manera irregular; genera algunas acciones, pero presenta brechas relevantes de oportunidad, calidad, seguimiento o trazabilidad.</t>
  </si>
  <si>
    <t>El control asociado a «Comunicación de riesgos comprensible y oportuna» funciona regularmente y genera la respuesta esperada en la mayoría de los casos; quedan desviaciones menores de oportunidad, cobertura o registro.</t>
  </si>
  <si>
    <t>El control asociado a «Comunicación de riesgos comprensible y oportuna» funciona de manera confiable, oportuna y consistente en todos los casos aplicables, con acciones trazables, seguimiento y evidencia verificable mediante entrevista estructurada.</t>
  </si>
  <si>
    <t>El control asociado a «Reportar fatiga y errores es seguro en la práctica» no opera en la práctica o, cuando se requiere, no genera la acción esperada.</t>
  </si>
  <si>
    <t>El control asociado a «Reportar fatiga y errores es seguro en la práctica» opera de forma esporádica y reactiva, depende de iniciativas individuales y carece de respuesta oportuna o registros consistentes.</t>
  </si>
  <si>
    <t>El control asociado a «Reportar fatiga y errores es seguro en la práctica» funciona parcialmente o de manera irregular; genera algunas acciones, pero presenta brechas relevantes de oportunidad, calidad, seguimiento o trazabilidad.</t>
  </si>
  <si>
    <t>El control asociado a «Reportar fatiga y errores es seguro en la práctica» funciona regularmente y genera la respuesta esperada en la mayoría de los casos; quedan desviaciones menores de oportunidad, cobertura o registro.</t>
  </si>
  <si>
    <t>El control asociado a «Reportar fatiga y errores es seguro en la práctica» funciona de manera confiable, oportuna y consistente en todos los casos aplicables, con acciones trazables, seguimiento y evidencia verificable mediante entrevista confidencial y muestreo.</t>
  </si>
  <si>
    <t>El control asociado a «Incidentes analizados buscando causas del sistema» no opera en la práctica o, cuando se requiere, no genera la acción esperada.</t>
  </si>
  <si>
    <t>El control asociado a «Incidentes analizados buscando causas del sistema» opera de forma esporádica y reactiva, depende de iniciativas individuales y carece de respuesta oportuna o registros consistentes.</t>
  </si>
  <si>
    <t>El control asociado a «Incidentes analizados buscando causas del sistema» funciona parcialmente o de manera irregular; genera algunas acciones, pero presenta brechas relevantes de oportunidad, calidad, seguimiento o trazabilidad.</t>
  </si>
  <si>
    <t>El control asociado a «Incidentes analizados buscando causas del sistema» funciona regularmente y genera la respuesta esperada en la mayoría de los casos; quedan desviaciones menores de oportunidad, cobertura o registro.</t>
  </si>
  <si>
    <t>El control asociado a «Incidentes analizados buscando causas del sistema» funciona de manera confiable, oportuna y consistente en todos los casos aplicables, con acciones trazables, seguimiento y evidencia verificable mediante muestreo de registros.</t>
  </si>
  <si>
    <t>El criterio «Reporte que se mantiene mientras los eventos graves bajan» no muestra resultados medibles o no se evalúa su efecto sobre el riesgo y el desempeño.</t>
  </si>
  <si>
    <t>El criterio «Reporte que se mantiene mientras los eventos graves bajan» presenta resultados anecdóticos o aislados, sin línea base, indicadores comparables ni evidencia de mejora atribuible.</t>
  </si>
  <si>
    <t>El criterio «Reporte que se mantiene mientras los eventos graves bajan» dispone de algunos indicadores o comparaciones, pero los resultados son parciales, inestables o insuficientes para demostrar efectividad sostenida.</t>
  </si>
  <si>
    <t>El criterio «Reporte que se mantiene mientras los eventos graves bajan» muestra una mejora medible y mayormente sostenida en los resultados; persisten brechas menores o variaciones que requieren seguimiento.</t>
  </si>
  <si>
    <t>El criterio «Reporte que se mantiene mientras los eventos graves bajan» demuestra efectividad sostenida con datos comparables de al menos tres períodos, tendencia favorable y ausencia o reducción comprobada de recurrencias, verificada mediante análisis de datos.</t>
  </si>
  <si>
    <t>El control asociado a «Actuación de los líderes frente a la seguridad» no opera en la práctica o, cuando se requiere, no genera la acción esperada.</t>
  </si>
  <si>
    <t>El control asociado a «Actuación de los líderes frente a la seguridad» opera de forma esporádica y reactiva, depende de iniciativas individuales y carece de respuesta oportuna o registros consistentes.</t>
  </si>
  <si>
    <t>El control asociado a «Actuación de los líderes frente a la seguridad» funciona parcialmente o de manera irregular; genera algunas acciones, pero presenta brechas relevantes de oportunidad, calidad, seguimiento o trazabilidad.</t>
  </si>
  <si>
    <t>El control asociado a «Actuación de los líderes frente a la seguridad» funciona regularmente y genera la respuesta esperada en la mayoría de los casos; quedan desviaciones menores de oportunidad, cobertura o registro.</t>
  </si>
  <si>
    <t>El control asociado a «Actuación de los líderes frente a la seguridad» funciona de manera confiable, oportuna y consistente en todos los casos aplicables, con acciones trazables, seguimiento y evidencia verificable mediante entrevista y reconstrucción de casos.</t>
  </si>
  <si>
    <t>No se verifica el criterio «Coherencia entre lo que se declara y lo que se hace» y no existe evidencia de revisión del control o de sus resultados.</t>
  </si>
  <si>
    <t>El criterio «Coherencia entre lo que se declara y lo que se hace» se verifica solo de manera ocasional o informal, sin método, frecuencia, muestra ni seguimiento definidos.</t>
  </si>
  <si>
    <t>El criterio «Coherencia entre lo que se declara y lo que se hace» cuenta con verificaciones periódicas pero parciales, con cobertura o profundidad insuficiente y seguimiento inconsistente de los hallazgos.</t>
  </si>
  <si>
    <t>El criterio «Coherencia entre lo que se declara y lo que se hace» se verifica sistemáticamente en la mayor parte del alcance, con hallazgos registrados y acciones de seguimiento; quedan brechas menores.</t>
  </si>
  <si>
    <t>El criterio «Coherencia entre lo que se declara y lo que se hace» se verifica de forma sistemática, independiente y basada en riesgo en todo el alcance, mediante contraste de fuentes, con cierre comprobado de hallazgos y retroalimentación al sistema.</t>
  </si>
  <si>
    <t>El criterio «Educación en sueño con evaluación de conocimiento» no se aplica en la práctica y no existe evidencia de implementación.</t>
  </si>
  <si>
    <t>El criterio «Educación en sueño con evaluación de conocimiento» se aplica solo en casos aislados o de manera informal, sin cobertura planificada ni consistencia entre áreas, turnos o personas expuestas.</t>
  </si>
  <si>
    <t>El criterio «Educación en sueño con evaluación de conocimiento» está implementado parcialmente; alcanza parte de la población o del proceso, con brechas relevantes de cobertura, frecuencia o registro.</t>
  </si>
  <si>
    <t>El criterio «Educación en sueño con evaluación de conocimiento» está implementado de forma regular en la mayor parte del alcance y con evidencia suficiente; persisten brechas menores de cobertura o consistencia.</t>
  </si>
  <si>
    <t>El criterio «Educación en sueño con evaluación de conocimiento» está implementado sistemáticamente en todo el alcance aplicable, incluidos turnos y contratistas cuando corresponde, con registros completos y verificación mediante muestreo de registros y entrevista.</t>
  </si>
  <si>
    <t>El criterio «Cambio medido en hábitos de sueño» no muestra resultados medibles o no se evalúa su efecto sobre el riesgo y el desempeño.</t>
  </si>
  <si>
    <t>El criterio «Cambio medido en hábitos de sueño» presenta resultados anecdóticos o aislados, sin línea base, indicadores comparables ni evidencia de mejora atribuible.</t>
  </si>
  <si>
    <t>El criterio «Cambio medido en hábitos de sueño» dispone de algunos indicadores o comparaciones, pero los resultados son parciales, inestables o insuficientes para demostrar efectividad sostenida.</t>
  </si>
  <si>
    <t>El criterio «Cambio medido en hábitos de sueño» muestra una mejora medible y mayormente sostenida en los resultados; persisten brechas menores o variaciones que requieren seguimiento.</t>
  </si>
  <si>
    <t>El criterio «Cambio medido en hábitos de sueño» demuestra efectividad sostenida con datos comparables de al menos tres períodos, tendencia favorable y ausencia o reducción comprobada de recurrencias, verificada mediante análisis de datos.</t>
  </si>
  <si>
    <t>El criterio «Involucramiento de la familia en el descanso» no se aplica en la práctica y no existe evidencia de implementación.</t>
  </si>
  <si>
    <t>El criterio «Involucramiento de la familia en el descanso» se aplica solo en casos aislados o de manera informal, sin cobertura planificada ni consistencia entre áreas, turnos o personas expuestas.</t>
  </si>
  <si>
    <t>El criterio «Involucramiento de la familia en el descanso» está implementado parcialmente; alcanza parte de la población o del proceso, con brechas relevantes de cobertura, frecuencia o registro.</t>
  </si>
  <si>
    <t>El criterio «Involucramiento de la familia en el descanso» está implementado de forma regular en la mayor parte del alcance y con evidencia suficiente; persisten brechas menores de cobertura o consistencia.</t>
  </si>
  <si>
    <t>El criterio «Involucramiento de la familia en el descanso» está implementado sistemáticamente en todo el alcance aplicable, incluidos turnos y contratistas cuando corresponde, con registros completos y verificación mediante revisión documental.</t>
  </si>
  <si>
    <t>El criterio «Alimentación e hidratación adecuadas al turno» no se aplica en la práctica y no existe evidencia de implementación.</t>
  </si>
  <si>
    <t>El criterio «Alimentación e hidratación adecuadas al turno» se aplica solo en casos aislados o de manera informal, sin cobertura planificada ni consistencia entre áreas, turnos o personas expuestas.</t>
  </si>
  <si>
    <t>El criterio «Alimentación e hidratación adecuadas al turno» está implementado parcialmente; alcanza parte de la población o del proceso, con brechas relevantes de cobertura, frecuencia o registro.</t>
  </si>
  <si>
    <t>El criterio «Alimentación e hidratación adecuadas al turno» está implementado de forma regular en la mayor parte del alcance y con evidencia suficiente; persisten brechas menores de cobertura o consistencia.</t>
  </si>
  <si>
    <t>El criterio «Alimentación e hidratación adecuadas al turno» está implementado sistemáticamente en todo el alcance aplicable, incluidos turnos y contratistas cuando corresponde, con registros completos y verificación mediante observación en terreno.</t>
  </si>
  <si>
    <t>El control asociado a «Hidratación verificada en calor o altura» no opera en la práctica o, cuando se requiere, no genera la acción esperada.</t>
  </si>
  <si>
    <t>El control asociado a «Hidratación verificada en calor o altura» opera de forma esporádica y reactiva, depende de iniciativas individuales y carece de respuesta oportuna o registros consistentes.</t>
  </si>
  <si>
    <t>El control asociado a «Hidratación verificada en calor o altura» funciona parcialmente o de manera irregular; genera algunas acciones, pero presenta brechas relevantes de oportunidad, calidad, seguimiento o trazabilidad.</t>
  </si>
  <si>
    <t>El control asociado a «Hidratación verificada en calor o altura» funciona regularmente y genera la respuesta esperada en la mayoría de los casos; quedan desviaciones menores de oportunidad, cobertura o registro.</t>
  </si>
  <si>
    <t>El control asociado a «Hidratación verificada en calor o altura» funciona de manera confiable, oportuna y consistente en todos los casos aplicables, con acciones trazables, seguimiento y evidencia verificable mediante muestreo de registros.</t>
  </si>
  <si>
    <t>El criterio «Actividad física compatible con los turnos» no se aplica en la práctica y no existe evidencia de implementación.</t>
  </si>
  <si>
    <t>El criterio «Actividad física compatible con los turnos» se aplica solo en casos aislados o de manera informal, sin cobertura planificada ni consistencia entre áreas, turnos o personas expuestas.</t>
  </si>
  <si>
    <t>El criterio «Actividad física compatible con los turnos» está implementado parcialmente; alcanza parte de la población o del proceso, con brechas relevantes de cobertura, frecuencia o registro.</t>
  </si>
  <si>
    <t>El criterio «Actividad física compatible con los turnos» está implementado de forma regular en la mayor parte del alcance y con evidencia suficiente; persisten brechas menores de cobertura o consistencia.</t>
  </si>
  <si>
    <t>El criterio «Actividad física compatible con los turnos» está implementado sistemáticamente en todo el alcance aplicable, incluidos turnos y contratistas cuando corresponde, con registros completos y verificación mediante revisión documental.</t>
  </si>
  <si>
    <t>El criterio «Dormitorios adecuados para el descanso» no está definido ni documentado; no existen criterios operativos, responsables ni evidencia aplicable.</t>
  </si>
  <si>
    <t>El criterio «Dormitorios adecuados para el descanso» se aborda de manera informal o mediante documentos aislados, incompletos o desactualizados, sin alcance ni responsables claros.</t>
  </si>
  <si>
    <t>El criterio «Dormitorios adecuados para el descanso» está formalmente definido, pero cubre solo parte del alcance o presenta brechas relevantes de actualización, criterios, responsables o aprobación.</t>
  </si>
  <si>
    <t>El criterio «Dormitorios adecuados para el descanso» está definido, documentado, aprobado y vigente para la mayor parte del alcance; solo quedan brechas menores de cobertura o integración.</t>
  </si>
  <si>
    <t>El criterio «Dormitorios adecuados para el descanso» está completamente formalizado, aprobado, vigente e integrado a la gestión, con alcance, parámetros, responsables y revisión periódica verificables mediante observación en terreno.</t>
  </si>
  <si>
    <t>El control asociado a «Condiciones de descanso medidas y gestionadas» no opera en la práctica o, cuando se requiere, no genera la acción esperada.</t>
  </si>
  <si>
    <t>El control asociado a «Condiciones de descanso medidas y gestionadas» opera de forma esporádica y reactiva, depende de iniciativas individuales y carece de respuesta oportuna o registros consistentes.</t>
  </si>
  <si>
    <t>El control asociado a «Condiciones de descanso medidas y gestionadas» funciona parcialmente o de manera irregular; genera algunas acciones, pero presenta brechas relevantes de oportunidad, calidad, seguimiento o trazabilidad.</t>
  </si>
  <si>
    <t>El control asociado a «Condiciones de descanso medidas y gestionadas» funciona regularmente y genera la respuesta esperada en la mayoría de los casos; quedan desviaciones menores de oportunidad, cobertura o registro.</t>
  </si>
  <si>
    <t>El control asociado a «Condiciones de descanso medidas y gestionadas» funciona de manera confiable, oportuna y consistente en todos los casos aplicables, con acciones trazables, seguimiento y evidencia verificable mediante muestreo de registros.</t>
  </si>
  <si>
    <t>¿La causa inmediata fue identificada y documentada?</t>
  </si>
  <si>
    <t>¿La causa raíz fue identificada y documentada?</t>
  </si>
  <si>
    <t>¿Las causas están sustentadas en evidencias verificables?</t>
  </si>
  <si>
    <t>¿Se definieron medidas correctivas para todas las causas identificadas?</t>
  </si>
  <si>
    <t>¿Las medidas establecieron responsables y plazos?</t>
  </si>
  <si>
    <t>¿Las medidas fueron implementadas según lo planificado?</t>
  </si>
  <si>
    <t>¿Existe evidencia objetiva de implementación?</t>
  </si>
  <si>
    <t>¿Las medidas continúan vigentes y operativas?</t>
  </si>
  <si>
    <t>¿Se verificó formalmente la eficacia de las medidas?</t>
  </si>
  <si>
    <t>¿Las medidas controlan o eliminan la causa raíz identificada?</t>
  </si>
  <si>
    <t>¿Se registraron eventos similares posteriores a la implementación?</t>
  </si>
  <si>
    <t>¿Las medidas demostraron ser efectivas para prevenir la repetición del evento?</t>
  </si>
  <si>
    <t>¿Se realiza denuncia e investigació de indicentes y cuasi accidentes asociados a fatiga y somnolencia?</t>
  </si>
  <si>
    <t>Ejemplo: registro formal de denuncia e informe de investigación del incidente o cuasi accidente, con referencia expresa a fatiga o somnolencia.</t>
  </si>
  <si>
    <t>Ejemplo: informe de investigación con la causa inmediata identificada, descrita y aprobada por el responsable de la investigación.</t>
  </si>
  <si>
    <t>Ejemplo: análisis de causa raíz documentado mediante una metodología formal, como 5 porqués, árbol de causas o ICAM.</t>
  </si>
  <si>
    <t>Ejemplo: anexos del informe con entrevistas, fotografías, registros de jornada, alertas de somnolencia y otros antecedentes que sustentan las causas.</t>
  </si>
  <si>
    <t>Ejemplo: plan de acción que vincula cada causa identificada con al menos una medida correctiva específica.</t>
  </si>
  <si>
    <t>Ejemplo: plan de acción aprobado con responsable nominal y fecha de cumplimiento definida para cada medida.</t>
  </si>
  <si>
    <t>Ejemplo: registro de seguimiento del plan de acción que muestre las medidas implementadas dentro de los plazos comprometidos.</t>
  </si>
  <si>
    <t>Ejemplo: documentos, fotografías, registros de capacitación, órdenes de trabajo o configuraciones de sistema que acrediten la implementación.</t>
  </si>
  <si>
    <t>Ejemplo: verificación en terreno o registro operativo reciente que confirme que las medidas siguen activas y funcionando.</t>
  </si>
  <si>
    <t>Ejemplo: informe de verificación de eficacia con criterio de aceptación, responsable, fecha y resultado documentado.</t>
  </si>
  <si>
    <t>Ejemplo: análisis posterior que demuestre que la medida actúa directamente sobre la causa raíz identificada y reduce su probabilidad de ocurrencia.</t>
  </si>
  <si>
    <t>Ejemplo: consulta del registro de incidentes y cuasi accidentes posteriores, filtrada por tipo de evento y causa asociada.</t>
  </si>
  <si>
    <t>Ejemplo: comparación antes y después de la implementación que evidencie ausencia o reducción sostenida de eventos similares.</t>
  </si>
  <si>
    <t>No se denuncian ni investigan los incidentes o cuasi accidentes asociados a fatiga y somnolencia; no existen registros ni un proceso aplicable.</t>
  </si>
  <si>
    <t>La denuncia o investigación se realiza solo en casos aislados y de manera informal, sin criterios definidos ni consideración sistemática de la fatiga y la somnolencia.</t>
  </si>
  <si>
    <t>Existe un proceso formal de denuncia e investigación, pero se aplica parcialmente o solo a algunos incidentes, con brechas relevantes en cuasi accidentes, cobertura o registro.</t>
  </si>
  <si>
    <t>La mayoría de los incidentes y cuasi accidentes asociados a fatiga y somnolencia se denuncian e investigan oportunamente; persisten brechas menores de cobertura o trazabilidad.</t>
  </si>
  <si>
    <t>Todos los incidentes y cuasi accidentes asociados a fatiga y somnolencia se denuncian e investigan sistemática y oportunamente, con registros completos, análisis de tendencias y seguimiento verificable.</t>
  </si>
  <si>
    <t>La causa inmediata no fue identificada ni documentada en la investigación.</t>
  </si>
  <si>
    <t>La causa inmediata se menciona de forma general o informal, sin descripción suficiente ni respaldo documental.</t>
  </si>
  <si>
    <t>La causa inmediata está identificada y documentada, pero presenta ambigüedades, alcance parcial o inconsistencias con los antecedentes del evento.</t>
  </si>
  <si>
    <t>La causa inmediata está claramente identificada y documentada para la mayor parte del evento; solo quedan brechas menores de precisión o trazabilidad.</t>
  </si>
  <si>
    <t>La causa inmediata está identificada, descrita y documentada con precisión, vinculada a la secuencia del evento y validada mediante evidencia verificable.</t>
  </si>
  <si>
    <t>La causa raíz no fue identificada ni documentada; el análisis se limita a la conducta o al error inmediato.</t>
  </si>
  <si>
    <t>Se propone una causa raíz de manera informal o superficial, sin metodología definida ni documentación suficiente.</t>
  </si>
  <si>
    <t>La causa raíz está documentada mediante un análisis parcial, pero no profundiza suficientemente en factores organizacionales, operacionales o de fatiga y somnolencia.</t>
  </si>
  <si>
    <t>La causa raíz está identificada y documentada con una metodología adecuada, incluyendo la mayoría de los factores sistémicos; quedan brechas menores de profundidad o validación.</t>
  </si>
  <si>
    <t>La causa raíz está plenamente identificada y documentada mediante una metodología formal, considerando factores humanos, organizacionales, operacionales y de fatiga o somnolencia, con validación verificable.</t>
  </si>
  <si>
    <t>Las causas señaladas no cuentan con evidencia que permita verificarlas.</t>
  </si>
  <si>
    <t>Las causas se sustentan principalmente en opiniones o antecedentes aislados, sin una recopilación estructurada de evidencia.</t>
  </si>
  <si>
    <t>Existen evidencias para algunas causas, pero son parciales, inconsistentes o insuficientes para respaldar todo el análisis causal.</t>
  </si>
  <si>
    <t>La mayoría de las causas están respaldadas por evidencia pertinente y trazable; solo quedan brechas menores de suficiencia o triangulación.</t>
  </si>
  <si>
    <t>Todas las causas están sustentadas en evidencia objetiva, suficiente y trazable, obtenida de registros, entrevistas, datos operacionales y otras fuentes contrastadas.</t>
  </si>
  <si>
    <t>No se definieron medidas correctivas para las causas identificadas.</t>
  </si>
  <si>
    <t>Se definieron acciones generales o reactivas para algunas causas, sin cobertura completa ni relación clara con el análisis causal.</t>
  </si>
  <si>
    <t>Existen medidas correctivas para parte de las causas, pero quedan causas sin tratamiento o acciones poco específicas.</t>
  </si>
  <si>
    <t>Se definieron medidas específicas para la mayoría de las causas identificadas y existe una relación clara entre causa y acción; quedan brechas menores.</t>
  </si>
  <si>
    <t>Cada causa identificada tiene una o más medidas correctivas específicas, proporcionales al riesgo y claramente vinculadas a su control o eliminación.</t>
  </si>
  <si>
    <t>Las medidas no tienen responsables ni plazos definidos.</t>
  </si>
  <si>
    <t>Algunas medidas tienen responsables o fechas informales, sin asignación completa, compromiso ni seguimiento estructurado.</t>
  </si>
  <si>
    <t>La mayoría de las medidas tiene responsable y plazo, pero existen omisiones, fechas poco realistas o responsabilidades ambiguas.</t>
  </si>
  <si>
    <t>Todas las medidas tienen responsable y plazo definidos y aprobados; solo quedan brechas menores en hitos intermedios o escalamiento.</t>
  </si>
  <si>
    <t>Todas las medidas cuentan con responsable nominal, plazo, hitos de seguimiento, recursos y mecanismo de escalamiento formalmente establecidos.</t>
  </si>
  <si>
    <t>Las medidas no fueron implementadas o no existe información sobre su avance.</t>
  </si>
  <si>
    <t>Solo se implementaron acciones aisladas, fuera de plazo o mediante esfuerzos informales, sin seguimiento consistente.</t>
  </si>
  <si>
    <t>Las medidas están parcialmente implementadas; algunas se completaron, pero existen atrasos o brechas relevantes respecto del plan.</t>
  </si>
  <si>
    <t>La mayoría de las medidas fue implementada conforme al plan y dentro de plazo; quedan desviaciones menores documentadas y gestionadas.</t>
  </si>
  <si>
    <t>Todas las medidas fueron implementadas según lo planificado, dentro de los plazos o mediante reprogramaciones formalmente justificadas, con seguimiento hasta su cierre.</t>
  </si>
  <si>
    <t>No existe evidencia objetiva que demuestre la implementación de las medidas.</t>
  </si>
  <si>
    <t>La implementación se acredita solo mediante declaraciones o antecedentes informales, sin registros verificables.</t>
  </si>
  <si>
    <t>Existe evidencia objetiva para algunas medidas, pero es incompleta, desactualizada o no permite confirmar plenamente su implementación.</t>
  </si>
  <si>
    <t>La mayoría de las medidas cuenta con evidencia objetiva, vigente y trazable; persisten brechas menores de archivo o verificación.</t>
  </si>
  <si>
    <t>Todas las medidas cuentan con evidencia objetiva, suficiente, vigente y trazable, verificada documentalmente y, cuando corresponde, en terreno.</t>
  </si>
  <si>
    <t>Las medidas ya no están vigentes, no operan o fueron abandonadas después de su implementación inicial.</t>
  </si>
  <si>
    <t>Algunas medidas continúan de manera informal o intermitente, dependiendo de iniciativas individuales y sin control de vigencia.</t>
  </si>
  <si>
    <t>Las medidas siguen vigentes parcialmente, pero presentan fallas relevantes de operación, cobertura, mantenimiento o disponibilidad.</t>
  </si>
  <si>
    <t>La mayoría de las medidas continúa vigente y operativa, con controles de mantenimiento o seguimiento; quedan desviaciones menores.</t>
  </si>
  <si>
    <t>Todas las medidas continúan vigentes, disponibles y operativas en condiciones normales y anómalas, con mantenimiento, responsables y verificaciones periódicas documentadas.</t>
  </si>
  <si>
    <t>No se realizó una verificación formal de la eficacia de las medidas.</t>
  </si>
  <si>
    <t>La eficacia se revisó de manera informal o anecdótica, sin criterios, indicadores, responsables ni fecha definidos.</t>
  </si>
  <si>
    <t>Se realizó una verificación formal para algunas medidas o con criterios parciales, pero los resultados no son concluyentes o no cubren todo el alcance.</t>
  </si>
  <si>
    <t>La eficacia de la mayoría de las medidas fue verificada formalmente con criterios e indicadores definidos; quedan brechas menores de cobertura o seguimiento.</t>
  </si>
  <si>
    <t>La eficacia de todas las medidas fue verificada formal e independientemente, con criterios de aceptación, indicadores comparables, resultados documentados y acciones ante desviaciones.</t>
  </si>
  <si>
    <t>Las medidas no actúan sobre la causa raíz identificada o solo tratan síntomas del evento.</t>
  </si>
  <si>
    <t>La relación entre las medidas y la causa raíz es indirecta, débil o no está documentada.</t>
  </si>
  <si>
    <t>Algunas medidas controlan la causa raíz, pero otras solo reducen consecuencias o dejan brechas relevantes de exposición.</t>
  </si>
  <si>
    <t>La mayoría de las medidas controla adecuadamente la causa raíz y reduce el riesgo; quedan brechas menores o controles complementarios pendientes.</t>
  </si>
  <si>
    <t>Las medidas eliminan o controlan directamente la causa raíz hasta un nivel de riesgo aceptable, con relación causa-medida demostrada mediante evidencia verificable.</t>
  </si>
  <si>
    <t>No se revisaron los registros posteriores o se identificaron eventos similares sin análisis ni acción adicional.</t>
  </si>
  <si>
    <t>La revisión posterior es informal o incompleta y no permite determinar con certeza si ocurrieron eventos similares.</t>
  </si>
  <si>
    <t>Se revisaron parcialmente los eventos posteriores; existen datos limitados o se observaron recurrencias que aún no han sido completamente abordadas.</t>
  </si>
  <si>
    <t>La revisión sistemática muestra ausencia o reducción relevante de eventos similares en la mayor parte del período; quedan brechas menores de cobertura o tiempo de observación.</t>
  </si>
  <si>
    <t>Los registros completos del período de seguimiento demuestran ausencia de recurrencias o una reducción sostenida y estadísticamente consistente de eventos similares, con análisis documentado.</t>
  </si>
  <si>
    <t>Las medidas no demostraron efectividad y el evento se repitió o el riesgo permanece sin cambios.</t>
  </si>
  <si>
    <t>Existen indicios anecdóticos de mejora, pero sin línea base, seguimiento ni evidencia suficiente para atribuir el resultado a las medidas.</t>
  </si>
  <si>
    <t>Las medidas muestran resultados parciales o inestables; algunos indicadores mejoran, pero persisten recurrencias o no ha transcurrido un período suficiente.</t>
  </si>
  <si>
    <t>Las medidas muestran una reducción medible y mayormente sostenida de eventos similares; quedan variaciones menores que requieren seguimiento.</t>
  </si>
  <si>
    <t>Las medidas demuestran efectividad sostenida para prevenir la repetición, con comparación antes y después, tendencia favorable, ausencia o reducción comprobada de recurrencias y revisión periódica.</t>
  </si>
  <si>
    <t>D.12 Factores correctivos</t>
  </si>
  <si>
    <t>La gobernanza de los riesgos críticos es reactiva; no hay roles, responsabilidades ni liderazgo visibles y las decisiones se toman después de los eventos.</t>
  </si>
  <si>
    <t>Existen responsables y acciones aisladas, dependientes de personas clave; la dirección participa de forma ocasional y la rendición de cuentas es limitada.</t>
  </si>
  <si>
    <t>Hay estructura, roles y objetivos formalizados; la dirección revisa el desempeño y asigna recursos, aunque persisten brechas entre áreas, turnos o contratistas.</t>
  </si>
  <si>
    <t>La gobernanza está integrada a la gestión operacional; el liderazgo es visible, las decisiones se basan en datos y las acciones se siguen hasta su cierre.</t>
  </si>
  <si>
    <t>La gobernanza es predictiva y referente: anticipa escenarios, optimiza recursos y responsabilidades con indicadores, aprendizaje continuo y participación transversal.</t>
  </si>
  <si>
    <t>La fatiga no se reconoce ni evalúa como riesgo; se actúa solo después de incidentes o signos evidentes.</t>
  </si>
  <si>
    <t>El riesgo de fatiga se identifica de manera general, con evaluaciones puntuales y controles dependientes del criterio individual.</t>
  </si>
  <si>
    <t>Existe un proceso documentado para identificar exposición, evaluar el riesgo y definir controles, aplicado parcialmente en la operación.</t>
  </si>
  <si>
    <t>La gestión del riesgo de fatiga se aplica en todos los turnos y grupos expuestos, con indicadores, revisión de eficacia y mejora de controles.</t>
  </si>
  <si>
    <t>El riesgo de fatiga se anticipa mediante análisis predictivo, tendencias y escenarios; los controles se adaptan preventivamente y demuestran eficacia sostenida.</t>
  </si>
  <si>
    <t>Los turnos y jornadas se diseñan principalmente por necesidades productivas, sin límites ni criterios formales de fatiga y recuperación.</t>
  </si>
  <si>
    <t>Se aplican límites básicos de jornada y descanso, pero con excepciones frecuentes y sin evaluar integralmente la carga acumulada.</t>
  </si>
  <si>
    <t>Los turnos se diseñan con criterios documentados de duración, rotación, pausas y recuperación, aunque existen brechas de aplicación o cobertura.</t>
  </si>
  <si>
    <t>El diseño de turnos integra riesgo, demanda operacional y datos reales de horas y descansos; las desviaciones se controlan y corrigen oportunamente.</t>
  </si>
  <si>
    <t>La programación se optimiza predictivamente según exposición, desempeño y recuperación, previniendo acumulación de fatiga y adaptándose a cambios operacionales.</t>
  </si>
  <si>
    <t>No hay controles operacionales sistemáticos de fatiga; la respuesta depende de la declaración espontánea o de la ocurrencia de un evento.</t>
  </si>
  <si>
    <t>Existen controles básicos antes o durante el turno, aplicados de forma irregular y sin criterios uniformes de intervención.</t>
  </si>
  <si>
    <t>Se aplican controles definidos —evaluación, pausas, relevo o retiro— en parte de las tareas críticas, con registros y responsables establecidos.</t>
  </si>
  <si>
    <t>Los controles operan consistentemente en todos los turnos y tareas críticas; las alertas generan respuestas trazables y se verifica su eficacia.</t>
  </si>
  <si>
    <t>La operación anticipa condiciones de fatiga y ajusta dotación, tareas y controles en tiempo real, con resultados sostenidos y aprendizaje continuo.</t>
  </si>
  <si>
    <t>La somnolencia no se pesquisa ni gestiona; no existen criterios para reconocer signos ni actuar ante una persona afectada.</t>
  </si>
  <si>
    <t>Se reconocen algunos signos y se toman medidas informales, dependientes de la experiencia del supervisor o trabajador.</t>
  </si>
  <si>
    <t>Hay criterios y protocolos para detectar, reportar y responder a la somnolencia, aplicados parcialmente y con cobertura limitada.</t>
  </si>
  <si>
    <t>La detección y respuesta son sistemáticas, confidenciales y oportunas; incluyen evaluación, relevo seguro, seguimiento y análisis de alertas.</t>
  </si>
  <si>
    <t>La somnolencia se previene y anticipa mediante datos individuales y operacionales, con intervenciones personalizadas y eficacia demostrada.</t>
  </si>
  <si>
    <t>La salud ocupacional no evalúa trastornos del sueño ni factores médicos relacionados con fatiga; los casos se abordan solo tras un evento.</t>
  </si>
  <si>
    <t>Se realizan evaluaciones generales o derivaciones aisladas, sin criterios de pesquisa, seguimiento ni integración con la operación.</t>
  </si>
  <si>
    <t>Existe un programa de pesquisa, derivación y aptitud para trastornos del sueño, con confidencialidad y cobertura parcial de grupos expuestos.</t>
  </si>
  <si>
    <t>El programa cubre sistemáticamente a la población expuesta, asegura tratamiento y seguimiento, y coordina restricciones o reintegro con la operación.</t>
  </si>
  <si>
    <t>La vigilancia de salud anticipa tendencias y personaliza intervenciones preventivas, demostrando mejora en salud, aptitud y exposición al riesgo.</t>
  </si>
  <si>
    <t>Los controles críticos no están identificados ni tienen estándares de desempeño; se confía en prácticas informales.</t>
  </si>
  <si>
    <t>Se reconocen algunos controles críticos, pero sus requisitos, responsables y verificaciones son incompletos o variables.</t>
  </si>
  <si>
    <t>Los controles críticos están definidos con estándares y responsables; se verifican con una frecuencia establecida, aunque con brechas de calidad o cobertura.</t>
  </si>
  <si>
    <t>La verificación de controles críticos es sistemática y basada en riesgo; las fallas generan acciones inmediatas, análisis y seguimiento hasta el cierre.</t>
  </si>
  <si>
    <t>El desempeño de controles se anticipa con indicadores líderes y análisis predictivo; las barreras se optimizan antes de perder efectividad.</t>
  </si>
  <si>
    <t>No se utiliza tecnología para detectar o controlar fatiga y somnolencia, o los equipos disponibles no tienen un propósito ni respuesta definidos.</t>
  </si>
  <si>
    <t>Existen pilotos o dispositivos aislados, con baja cobertura, criterios variables y escasa integración a las decisiones operacionales.</t>
  </si>
  <si>
    <t>La tecnología está seleccionada y desplegada en parte del alcance, con protocolos de alerta, mantenimiento, privacidad y respuesta documentados.</t>
  </si>
  <si>
    <t>Los sistemas cubren las exposiciones críticas, están integrados a la operación y sus alertas, disponibilidad y eficacia se monitorean regularmente.</t>
  </si>
  <si>
    <t>La tecnología integra múltiples fuentes y analítica predictiva para anticipar el riesgo, ajustar controles en tiempo real y mejorar continuamente su precisión.</t>
  </si>
  <si>
    <t>Los factores humanos y organizacionales no se consideran; los eventos se atribuyen principalmente al error individual.</t>
  </si>
  <si>
    <t>Se reconocen algunos factores como carga, comunicación o presión productiva, pero se analizan de forma ocasional y sin método común.</t>
  </si>
  <si>
    <t>Existe una metodología para analizar factores humanos y organizacionales en tareas y eventos, aplicada parcialmente y con acciones definidas.</t>
  </si>
  <si>
    <t>Estos factores se integran al diseño del trabajo, investigaciones y gestión del cambio; las acciones sistémicas se verifican en terreno.</t>
  </si>
  <si>
    <t>La organización anticipa interacciones humanas y organizacionales mediante aprendizaje operacional y rediseña el sistema antes de que emerjan fallas.</t>
  </si>
  <si>
    <t>Predominan conductas reactivas y silencio ante desviaciones; la seguridad depende de reglas formales con escasa aplicación observable.</t>
  </si>
  <si>
    <t>Hay iniciativas y mensajes de seguridad, pero las conductas varían entre líderes, áreas y turnos y dependen de personas comprometidas.</t>
  </si>
  <si>
    <t>Se han definido conductas observables y mecanismos de participación y reporte; su aplicación es regular, aunque aún desigual.</t>
  </si>
  <si>
    <t>Las conductas seguras son consistentes y verificables; existe confianza para reportar, detener tareas y aprender sin represalias, con liderazgo coherente.</t>
  </si>
  <si>
    <t>La cultura aprende y se adapta continuamente; las personas anticipan riesgos, desafían supuestos y fortalecen colectivamente la seguridad.</t>
  </si>
  <si>
    <t>No existen factores preventivos planificados; las medidas se adoptan después de desviaciones o eventos.</t>
  </si>
  <si>
    <t>Se realizan acciones preventivas aisladas —información, pausas o campañas— sin segmentación, cobertura ni evaluación de resultados.</t>
  </si>
  <si>
    <t>Hay un programa preventivo documentado que combina diseño del trabajo, educación y autocuidado, con implementación parcial y registros.</t>
  </si>
  <si>
    <t>Los factores preventivos se aplican según exposición y cubren organización, supervisión y trabajadores; sus resultados se miden y mejoran.</t>
  </si>
  <si>
    <t>La prevención es personalizada y predictiva, integrada a la planificación y al bienestar, y demuestra reducción sostenida de exposición y eventos.</t>
  </si>
  <si>
    <t>No hay respuesta correctiva definida ante alertas, incumplimientos o eventos; las decisiones son improvisadas y no se registran.</t>
  </si>
  <si>
    <t>Se aplican correcciones puntuales, como pausas o relevo, sin criterios uniformes, análisis causal ni seguimiento posterior.</t>
  </si>
  <si>
    <t>Existen protocolos de intervención, investigación y acciones correctivas con responsables y plazos, aunque su aplicación y cierre son parciales.</t>
  </si>
  <si>
    <t>Las respuestas son oportunas, proporcionales y trazables; se verifican causas, cierre y eficacia, y las lecciones se extienden a situaciones similares.</t>
  </si>
  <si>
    <t>El sistema aprende de alertas y desviaciones para prevenir recurrencias, anticipa necesidades de intervención y valida la eficacia sostenida de las mejoras.</t>
  </si>
  <si>
    <t>CLASIFICACIÓN POR FOCO DEL NIVEL DE MADUREZ DE LA GESTIÓN DE FATIGA Y SOMNOLENCIA</t>
  </si>
  <si>
    <t>CLASIFICACIÓN GENERAL DEL NIVEL DE MADUREZ DE LA GESTIÓN DE FATIGA Y SOMNOLENCIA</t>
  </si>
  <si>
    <t>Inicial / Reactivo</t>
  </si>
  <si>
    <t>La organización aborda la fatiga y somnolencia únicamente después de ocurridos incidentes, cuasi accidentes o reportes de trabajadores. No existen procedimientos formales, criterios de evaluación ni controles preventivos definidos.</t>
  </si>
  <si>
    <t>Existen algunas medidas de control, pero dependen principalmente de la experiencia de supervisores o personas clave. La gestión se basa en decisiones individuales y no en un proceso estandarizado ni documentado.</t>
  </si>
  <si>
    <t>La organización cuenta con procedimientos documentados para gestionar la fatiga y somnolencia, incluyendo identificación de tareas críticas, controles de jornada y mecanismos de reporte. Se realizan evaluaciones periódicas y existe capacitación formal sobre el riesgo.</t>
  </si>
  <si>
    <t>La gestión de fatiga y somnolencia está integrada con los procesos de gestión de riesgos, salud ocupacional, programación de turnos, investigación de incidentes y vigilancia de la salud. Se monitorea el cumplimiento de controles y se evalúa sistemáticamente su eficacia.</t>
  </si>
  <si>
    <t>La organización utiliza indicadores, análisis de tendencias y factores predictivos para anticipar condiciones de fatiga y somnolencia. La planificación operacional, gestión de turnos y toma de decisiones consideran información preventiva, promoviendo una cultura de autocuidado y mejora continua basada en evidencia.</t>
  </si>
  <si>
    <t>EVALUACIÓN DE MADUREZ EN LA GESTIÓN DE FATIGA &amp; SOMNOLENCIA - V01</t>
  </si>
  <si>
    <t>DASHBOARD DE MADUREZ EN GESTIÓN F&amp;S</t>
  </si>
  <si>
    <t>Registro formal de denuncia e informe de investigación del incidente o cuasi accidente, con referencia expresa a fatiga o somnolencia.</t>
  </si>
  <si>
    <t>Informe de investigación con la causa inmediata identificada, descrita y aprobada por el responsable de la investigación.</t>
  </si>
  <si>
    <t>Análisis de causa raíz documentado mediante una metodología formal, como 5 porqués, árbol de causas o ICAM.</t>
  </si>
  <si>
    <t>Anexos del informe con entrevistas, fotografías, registros de jornada, alertas de somnolencia y otros antecedentes que sustentan las causas.</t>
  </si>
  <si>
    <t>Plan de acción que vincula cada causa identificada con al menos una medida correctiva específica.</t>
  </si>
  <si>
    <t>Plan de acción aprobado con responsable nominal y fecha de cumplimiento definida para cada medida.</t>
  </si>
  <si>
    <t>Registro de seguimiento del plan de acción que muestre las medidas implementadas dentro de los plazos comprometidos.</t>
  </si>
  <si>
    <t>Documentos, fotografías, registros de capacitación, órdenes de trabajo o configuraciones de sistema que acrediten la implementación.</t>
  </si>
  <si>
    <t>Verificación en terreno o registro operativo reciente que confirme que las medidas siguen activas y funcionando.</t>
  </si>
  <si>
    <t>Informe de verificación de eficacia con criterio de aceptación, responsable, fecha y resultado documentado.</t>
  </si>
  <si>
    <t>Análisis posterior que demuestre que la medida actúa directamente sobre la causa raíz identificada y reduce su probabilidad de ocurrencia.</t>
  </si>
  <si>
    <t>Consulta del registro de incidentes y cuasi accidentes posteriores, filtrada por tipo de evento y causa asociada.</t>
  </si>
  <si>
    <t>Comparación antes y después de la implementación que evidencie ausencia o reducción sostenida de eventos similares.</t>
  </si>
  <si>
    <t>Evaluar el nivel de madurez de la gestión de fatiga y somnolencia de la organización, identificando fortalezas, brechas y oportunidades de mejora en los procesos, controles y capacidades organizacionales, con el fin de priorizar acciones que reduzcan los riesgos para las personas, la seguridad operacional y la continuidad de las operaciones.</t>
  </si>
  <si>
    <t>Entrega una visión integral del estado de madurez de la gestión de fatiga y somnolencia, mostrando la posición de la organización respecto de las mejores prácticas y permitiendo priorizar iniciativas para fortalecer los controles, la cultura preventiva y la seguridad operacional.</t>
  </si>
  <si>
    <t>La metodología utilizada es una evaluación cualitativa estructurada, basada en 12 dimensiones aplicando 128 preguntas de medición de cumplimiento (5 por componente) que entregan un nivel de porcentaje según una rúbrica de 5 niveles de madurez.</t>
  </si>
  <si>
    <t>¿APLICA?</t>
  </si>
  <si>
    <t>Decidir</t>
  </si>
  <si>
    <t>DIMENSIONES APLICADAS</t>
  </si>
  <si>
    <t>Nivel</t>
  </si>
  <si>
    <t>Límite superior</t>
  </si>
  <si>
    <t>Color</t>
  </si>
  <si>
    <t>#FF0000</t>
  </si>
  <si>
    <t>#FFC000</t>
  </si>
  <si>
    <t>#FFFF00</t>
  </si>
  <si>
    <t>#92D050</t>
  </si>
  <si>
    <t>#00B050</t>
  </si>
  <si>
    <t>N° nivel</t>
  </si>
  <si>
    <t>Etiqueta</t>
  </si>
  <si>
    <t>LÍMITES Y COLORES PARA EL GRÁFICO "Porcentaje Obtenido por Dimensión" (Dashboard)</t>
  </si>
  <si>
    <t>SOPORTE GRÁFICO (cálculo automático - no editar)</t>
  </si>
  <si>
    <t>2. Defina las dimensiones a aplicar</t>
  </si>
  <si>
    <t>3. Abra la hoja Preguntas y responda las 20 preguntas (5 por componente) seleccionando uno de los 5 criterios en la columna "Nivel de cumplimiento". Al inicio la celda indica "EVA" (EVALUAR). Al responder, se asigna un valor de 0%, 25%, 50%, 75% o 100% según el nivel de cumplimiento o gestión particular respecto a lo evaluado.</t>
  </si>
  <si>
    <t>4. El DASHBOARD calcula automáticamente el cumplimiento de los cuatro componentes y el nivel global de BCM.</t>
  </si>
  <si>
    <t>5. Revise la hoja Escala: se resaltará el nivel alcanzado en cada componente con el color correspondiente.</t>
  </si>
  <si>
    <t>6. Utilice el DASHBOARD para identificar brechas, comparar componentes y definir prioridades del plan de cierre de brechas.</t>
  </si>
  <si>
    <t>7. En Matriz Prioridades establezca las acciones a seguir considerando la factibilidad de las mismas.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</si>
</sst>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Calibri"/>
      <family val="2"/>
      <charset val="1"/>
    </font>
    <font>
      <sz val="11"/>
      <color theme="1"/>
      <name val="Calibri"/>
      <family val="2"/>
      <scheme val="minor"/>
    </font>
    <font>
      <sz val="11"/>
      <color theme="1"/>
      <name val="Calibri"/>
      <family val="2"/>
      <scheme val="minor"/>
    </font>
    <font>
      <b/>
      <sz val="10"/>
      <color rgb="FFFFFFFF"/>
      <name val="Arial"/>
      <family val="2"/>
    </font>
    <font>
      <sz val="10"/>
      <color rgb="FF000000"/>
      <name val="Arial"/>
      <family val="2"/>
    </font>
    <font>
      <b/>
      <sz val="11"/>
      <color rgb="FF000000"/>
      <name val="Arial"/>
      <family val="2"/>
    </font>
    <font>
      <b/>
      <sz val="11"/>
      <color theme="1"/>
      <name val="Calibri"/>
      <family val="2"/>
      <scheme val="minor"/>
    </font>
    <font>
      <b/>
      <sz val="16"/>
      <color rgb="FFFFFFFF"/>
      <name val="Calibri"/>
      <family val="2"/>
      <scheme val="minor"/>
    </font>
    <font>
      <b/>
      <sz val="10"/>
      <color rgb="FFFFFFFF"/>
      <name val="Calibri"/>
      <family val="2"/>
      <scheme val="minor"/>
    </font>
    <font>
      <b/>
      <sz val="10"/>
      <color rgb="FF000000"/>
      <name val="Calibri"/>
      <family val="2"/>
      <scheme val="minor"/>
    </font>
    <font>
      <b/>
      <sz val="11"/>
      <color rgb="FFFFFFFF"/>
      <name val="Calibri"/>
      <family val="2"/>
      <scheme val="minor"/>
    </font>
    <font>
      <sz val="10"/>
      <color rgb="FF000000"/>
      <name val="Calibri"/>
      <family val="2"/>
      <scheme val="minor"/>
    </font>
    <font>
      <b/>
      <sz val="14"/>
      <color rgb="FFFFFFFF"/>
      <name val="Calibri"/>
      <family val="2"/>
      <scheme val="minor"/>
    </font>
    <font>
      <b/>
      <sz val="10"/>
      <name val="Calibri"/>
      <family val="2"/>
      <scheme val="minor"/>
    </font>
    <font>
      <sz val="14"/>
      <color theme="1"/>
      <name val="Calibri"/>
      <family val="2"/>
      <charset val="1"/>
    </font>
    <font>
      <sz val="11"/>
      <color rgb="FF333333"/>
      <name val="Calibri"/>
      <family val="2"/>
      <scheme val="minor"/>
    </font>
    <font>
      <i/>
      <sz val="10"/>
      <color theme="1"/>
      <name val="Calibri"/>
      <family val="2"/>
      <scheme val="minor"/>
    </font>
    <font>
      <b/>
      <sz val="11"/>
      <color theme="1" tint="0.14999847407452621"/>
      <name val="Calibri"/>
      <family val="2"/>
      <scheme val="minor"/>
    </font>
    <font>
      <sz val="11"/>
      <color theme="1" tint="0.14999847407452621"/>
      <name val="Calibri"/>
      <family val="2"/>
      <scheme val="minor"/>
    </font>
    <font>
      <b/>
      <sz val="13"/>
      <name val="Calibri"/>
      <family val="2"/>
      <scheme val="minor"/>
    </font>
    <font>
      <b/>
      <sz val="11"/>
      <name val="Calibri"/>
      <family val="2"/>
      <scheme val="minor"/>
    </font>
    <font>
      <b/>
      <sz val="10"/>
      <color theme="1" tint="0.14999847407452621"/>
      <name val="Calibri"/>
      <family val="2"/>
      <scheme val="minor"/>
    </font>
    <font>
      <sz val="7"/>
      <color theme="1"/>
      <name val="Segoe UI"/>
      <family val="2"/>
    </font>
    <font>
      <b/>
      <sz val="11"/>
      <color theme="1"/>
      <name val="Segoe UI"/>
      <family val="2"/>
    </font>
    <font>
      <sz val="11"/>
      <color theme="1"/>
      <name val="Segoe UI"/>
      <family val="2"/>
    </font>
    <font>
      <b/>
      <sz val="24"/>
      <color theme="1"/>
      <name val="Segoe UI"/>
      <family val="2"/>
    </font>
    <font>
      <b/>
      <sz val="18"/>
      <color theme="1"/>
      <name val="Segoe UI"/>
      <family val="2"/>
    </font>
    <font>
      <b/>
      <sz val="13.5"/>
      <color theme="1"/>
      <name val="Segoe UI"/>
      <family val="2"/>
    </font>
    <font>
      <b/>
      <sz val="18"/>
      <color rgb="FF00B050"/>
      <name val="Segoe UI"/>
      <family val="2"/>
    </font>
    <font>
      <b/>
      <sz val="18"/>
      <color theme="6" tint="0.39997558519241921"/>
      <name val="Segoe UI"/>
      <family val="2"/>
    </font>
    <font>
      <b/>
      <sz val="18"/>
      <color rgb="FFFFFF00"/>
      <name val="Segoe UI"/>
      <family val="2"/>
    </font>
    <font>
      <b/>
      <sz val="16"/>
      <color theme="1"/>
      <name val="Calibri"/>
      <family val="2"/>
    </font>
    <font>
      <sz val="12"/>
      <color theme="1"/>
      <name val="Segoe UI"/>
      <family val="2"/>
    </font>
    <font>
      <sz val="12"/>
      <color theme="1"/>
      <name val="Calibri"/>
      <family val="2"/>
      <charset val="1"/>
    </font>
    <font>
      <b/>
      <sz val="12"/>
      <color theme="1"/>
      <name val="Segoe UI"/>
      <family val="2"/>
    </font>
    <font>
      <sz val="14"/>
      <color theme="1"/>
      <name val="Segoe UI"/>
      <family val="2"/>
    </font>
    <font>
      <b/>
      <sz val="14"/>
      <color theme="1"/>
      <name val="Segoe UI"/>
      <family val="2"/>
    </font>
    <font>
      <b/>
      <sz val="18"/>
      <color theme="5" tint="0.39997558519241921"/>
      <name val="Segoe UI"/>
      <family val="2"/>
    </font>
    <font>
      <b/>
      <sz val="10"/>
      <color rgb="FFFFFFFF"/>
      <name val="Arial"/>
      <family val="2"/>
    </font>
    <font>
      <sz val="18"/>
      <color theme="1"/>
      <name val="Calibri"/>
      <family val="2"/>
      <charset val="1"/>
    </font>
    <font>
      <b/>
      <sz val="18"/>
      <color theme="0"/>
      <name val="Segoe UI"/>
      <family val="2"/>
    </font>
    <font>
      <sz val="8"/>
      <name val="Calibri"/>
      <family val="2"/>
      <charset val="1"/>
    </font>
    <font>
      <b/>
      <sz val="13"/>
      <color theme="0"/>
      <name val="Calibri"/>
      <family val="2"/>
      <scheme val="minor"/>
    </font>
    <font>
      <b/>
      <sz val="18"/>
      <color theme="0"/>
      <name val="Calibri"/>
      <family val="2"/>
      <scheme val="minor"/>
    </font>
    <font>
      <sz val="12"/>
      <color rgb="FF000000"/>
      <name val="Calibri"/>
      <family val="2"/>
      <scheme val="minor"/>
    </font>
    <font>
      <u/>
      <sz val="11"/>
      <color theme="10"/>
      <name val="Calibri"/>
      <family val="2"/>
      <charset val="1"/>
    </font>
    <font>
      <b/>
      <sz val="10"/>
      <color rgb="FFFFFFFF"/>
      <name val="Arial"/>
      <charset val="1"/>
    </font>
    <font>
      <sz val="9"/>
      <color rgb="FF000000"/>
      <name val="Arial"/>
      <charset val="1"/>
    </font>
    <font>
      <sz val="9"/>
      <color theme="1"/>
      <name val="Aptos"/>
    </font>
    <font>
      <sz val="9"/>
      <color rgb="FF000000"/>
      <name val="Arial"/>
      <family val="2"/>
    </font>
    <font>
      <b/>
      <sz val="9"/>
      <color theme="0"/>
      <name val="Arial"/>
      <family val="2"/>
    </font>
    <font>
      <sz val="9"/>
      <color theme="1"/>
      <name val="Aptos"/>
      <family val="2"/>
    </font>
    <font>
      <sz val="9"/>
      <color theme="1"/>
      <name val="Arial"/>
    </font>
    <font>
      <b/>
      <sz val="20"/>
      <color theme="1"/>
      <name val="Calibri"/>
      <family val="2"/>
      <scheme val="minor"/>
    </font>
    <font>
      <b/>
      <sz val="9"/>
      <color rgb="FFFFFFFF"/>
      <name val="Calibri"/>
      <family val="2"/>
      <scheme val="minor"/>
    </font>
    <font>
      <sz val="9"/>
      <color theme="1"/>
      <name val="Calibri"/>
      <family val="2"/>
      <scheme val="minor"/>
    </font>
    <font>
      <sz val="9"/>
      <color rgb="FF0000FF"/>
      <name val="Calibri"/>
      <family val="2"/>
      <scheme val="minor"/>
    </font>
    <font>
      <sz val="9"/>
      <color rgb="FF808080"/>
      <name val="Calibri"/>
      <family val="2"/>
      <scheme val="minor"/>
    </font>
    <font>
      <b/>
      <sz val="9"/>
      <color theme="1"/>
      <name val="Calibri"/>
      <family val="2"/>
      <scheme val="minor"/>
    </font>
  </fonts>
  <fills count="69">
    <fill>
      <patternFill patternType="none"/>
    </fill>
    <fill>
      <patternFill patternType="gray125"/>
    </fill>
    <fill>
      <patternFill patternType="solid">
        <fgColor rgb="FFB56866"/>
        <bgColor rgb="FF808080"/>
      </patternFill>
    </fill>
    <fill>
      <patternFill patternType="solid">
        <fgColor rgb="FFFFB24F"/>
        <bgColor rgb="FFFFC000"/>
      </patternFill>
    </fill>
    <fill>
      <patternFill patternType="solid">
        <fgColor rgb="FFF0CCB3"/>
        <bgColor rgb="FFD9D9D9"/>
      </patternFill>
    </fill>
    <fill>
      <patternFill patternType="solid">
        <fgColor rgb="FFD9D9D9"/>
        <bgColor rgb="FFD9E1F2"/>
      </patternFill>
    </fill>
    <fill>
      <patternFill patternType="solid">
        <fgColor rgb="FFFF0000"/>
        <bgColor rgb="FF993300"/>
      </patternFill>
    </fill>
    <fill>
      <patternFill patternType="solid">
        <fgColor rgb="FFFFC000"/>
        <bgColor rgb="FFFFB24F"/>
      </patternFill>
    </fill>
    <fill>
      <patternFill patternType="solid">
        <fgColor rgb="FFFFFF00"/>
        <bgColor rgb="FFFFFF00"/>
      </patternFill>
    </fill>
    <fill>
      <patternFill patternType="solid">
        <fgColor rgb="FF92D050"/>
        <bgColor rgb="FFC0C0C0"/>
      </patternFill>
    </fill>
    <fill>
      <patternFill patternType="solid">
        <fgColor rgb="FF00B050"/>
        <bgColor rgb="FF008080"/>
      </patternFill>
    </fill>
    <fill>
      <patternFill patternType="solid">
        <fgColor rgb="FFDCE6F1"/>
        <bgColor rgb="FFD9E1F2"/>
      </patternFill>
    </fill>
    <fill>
      <patternFill patternType="solid">
        <fgColor rgb="FF929292"/>
        <bgColor rgb="FF878787"/>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rgb="FFFF0000"/>
        <bgColor rgb="FFD9D9D9"/>
      </patternFill>
    </fill>
    <fill>
      <patternFill patternType="solid">
        <fgColor rgb="FFFFC000"/>
        <bgColor rgb="FFD9D9D9"/>
      </patternFill>
    </fill>
    <fill>
      <patternFill patternType="solid">
        <fgColor rgb="FFFFFF00"/>
        <bgColor rgb="FFD9D9D9"/>
      </patternFill>
    </fill>
    <fill>
      <patternFill patternType="solid">
        <fgColor rgb="FF00B050"/>
        <bgColor rgb="FFD9D9D9"/>
      </patternFill>
    </fill>
    <fill>
      <patternFill patternType="solid">
        <fgColor theme="0" tint="-0.14999847407452621"/>
        <bgColor rgb="FFD9D9D9"/>
      </patternFill>
    </fill>
    <fill>
      <patternFill patternType="solid">
        <fgColor rgb="FFFFB24F"/>
        <bgColor indexed="64"/>
      </patternFill>
    </fill>
    <fill>
      <patternFill patternType="solid">
        <fgColor theme="9" tint="0.59999389629810485"/>
        <bgColor indexed="64"/>
      </patternFill>
    </fill>
    <fill>
      <patternFill patternType="solid">
        <fgColor rgb="FFFFE0A3"/>
        <bgColor indexed="64"/>
      </patternFill>
    </fill>
    <fill>
      <patternFill patternType="solid">
        <fgColor theme="0" tint="-0.249977111117893"/>
        <bgColor indexed="64"/>
      </patternFill>
    </fill>
    <fill>
      <patternFill patternType="solid">
        <fgColor theme="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B56866"/>
        <bgColor indexed="64"/>
      </patternFill>
    </fill>
    <fill>
      <patternFill patternType="solid">
        <fgColor rgb="FF2F5496"/>
        <bgColor rgb="FF1F3864"/>
      </patternFill>
    </fill>
    <fill>
      <patternFill patternType="solid">
        <fgColor rgb="FFFDE9E7"/>
        <bgColor indexed="64"/>
      </patternFill>
    </fill>
    <fill>
      <patternFill patternType="solid">
        <fgColor rgb="FFC00000"/>
        <bgColor indexed="64"/>
      </patternFill>
    </fill>
    <fill>
      <patternFill patternType="solid">
        <fgColor rgb="FFFFF2CC"/>
        <bgColor indexed="64"/>
      </patternFill>
    </fill>
    <fill>
      <patternFill patternType="solid">
        <fgColor rgb="FFED7D31"/>
        <bgColor indexed="64"/>
      </patternFill>
    </fill>
    <fill>
      <patternFill patternType="solid">
        <fgColor rgb="FFFFF9E6"/>
        <bgColor indexed="64"/>
      </patternFill>
    </fill>
    <fill>
      <patternFill patternType="solid">
        <fgColor rgb="FFBF9000"/>
        <bgColor indexed="64"/>
      </patternFill>
    </fill>
    <fill>
      <patternFill patternType="solid">
        <fgColor rgb="FFE2F0D9"/>
        <bgColor indexed="64"/>
      </patternFill>
    </fill>
    <fill>
      <patternFill patternType="solid">
        <fgColor rgb="FF70AD47"/>
        <bgColor indexed="64"/>
      </patternFill>
    </fill>
    <fill>
      <patternFill patternType="solid">
        <fgColor rgb="FFC6E0B4"/>
        <bgColor indexed="64"/>
      </patternFill>
    </fill>
    <fill>
      <patternFill patternType="solid">
        <fgColor rgb="FF548235"/>
        <bgColor indexed="64"/>
      </patternFill>
    </fill>
    <fill>
      <patternFill patternType="solid">
        <fgColor theme="0" tint="-0.499984740745262"/>
        <bgColor indexed="64"/>
      </patternFill>
    </fill>
    <fill>
      <patternFill patternType="solid">
        <fgColor theme="6" tint="0.59999389629810485"/>
        <bgColor rgb="FFDCE6F1"/>
      </patternFill>
    </fill>
    <fill>
      <patternFill patternType="solid">
        <fgColor theme="6" tint="0.59999389629810485"/>
        <bgColor rgb="FFD9E1F2"/>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2" tint="-9.9978637043366805E-2"/>
        <bgColor rgb="FFD9E1F2"/>
      </patternFill>
    </fill>
    <fill>
      <patternFill patternType="solid">
        <fgColor theme="5" tint="0.79998168889431442"/>
        <bgColor indexed="64"/>
      </patternFill>
    </fill>
    <fill>
      <patternFill patternType="solid">
        <fgColor theme="5" tint="0.79998168889431442"/>
        <bgColor rgb="FFD9E1F2"/>
      </patternFill>
    </fill>
    <fill>
      <patternFill patternType="solid">
        <fgColor theme="9" tint="0.79998168889431442"/>
        <bgColor rgb="FFD9E1F2"/>
      </patternFill>
    </fill>
    <fill>
      <patternFill patternType="solid">
        <fgColor theme="7" tint="0.79998168889431442"/>
        <bgColor indexed="64"/>
      </patternFill>
    </fill>
    <fill>
      <patternFill patternType="solid">
        <fgColor theme="7" tint="0.79998168889431442"/>
        <bgColor rgb="FFD9E1F2"/>
      </patternFill>
    </fill>
    <fill>
      <patternFill patternType="solid">
        <fgColor theme="0" tint="-4.9989318521683403E-2"/>
        <bgColor rgb="FFD9E1F2"/>
      </patternFill>
    </fill>
    <fill>
      <patternFill patternType="solid">
        <fgColor theme="2" tint="-0.249977111117893"/>
        <bgColor indexed="64"/>
      </patternFill>
    </fill>
    <fill>
      <patternFill patternType="solid">
        <fgColor theme="2" tint="-0.249977111117893"/>
        <bgColor rgb="FFD9E1F2"/>
      </patternFill>
    </fill>
    <fill>
      <patternFill patternType="solid">
        <fgColor theme="4" tint="0.59999389629810485"/>
        <bgColor indexed="64"/>
      </patternFill>
    </fill>
    <fill>
      <patternFill patternType="solid">
        <fgColor theme="4" tint="0.59999389629810485"/>
        <bgColor rgb="FFD9E1F2"/>
      </patternFill>
    </fill>
    <fill>
      <patternFill patternType="solid">
        <fgColor theme="5" tint="0.59999389629810485"/>
        <bgColor indexed="64"/>
      </patternFill>
    </fill>
    <fill>
      <patternFill patternType="solid">
        <fgColor theme="5" tint="0.59999389629810485"/>
        <bgColor rgb="FFD9E1F2"/>
      </patternFill>
    </fill>
    <fill>
      <patternFill patternType="solid">
        <fgColor theme="8" tint="0.59999389629810485"/>
        <bgColor rgb="FFFFC000"/>
      </patternFill>
    </fill>
    <fill>
      <patternFill patternType="solid">
        <fgColor rgb="FFFFC000"/>
        <bgColor indexed="64"/>
      </patternFill>
    </fill>
    <fill>
      <patternFill patternType="solid">
        <fgColor theme="0" tint="-0.14999847407452621"/>
        <bgColor rgb="FFFFC000"/>
      </patternFill>
    </fill>
    <fill>
      <patternFill patternType="solid">
        <fgColor rgb="FF1F3864"/>
        <bgColor indexed="64"/>
      </patternFill>
    </fill>
  </fills>
  <borders count="62">
    <border>
      <left/>
      <right/>
      <top/>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E6E6E6"/>
      </left>
      <right style="medium">
        <color rgb="FFE6E6E6"/>
      </right>
      <top style="medium">
        <color rgb="FFE6E6E6"/>
      </top>
      <bottom style="medium">
        <color rgb="FFE6E6E6"/>
      </bottom>
      <diagonal/>
    </border>
    <border>
      <left style="medium">
        <color indexed="64"/>
      </left>
      <right style="thin">
        <color theme="3" tint="-0.249977111117893"/>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3" tint="-0.249977111117893"/>
      </left>
      <right style="medium">
        <color indexed="64"/>
      </right>
      <top style="medium">
        <color indexed="64"/>
      </top>
      <bottom style="medium">
        <color indexed="64"/>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3" tint="-0.249977111117893"/>
      </left>
      <right style="medium">
        <color indexed="64"/>
      </right>
      <top style="thin">
        <color theme="3" tint="-0.249977111117893"/>
      </top>
      <bottom style="medium">
        <color indexed="64"/>
      </bottom>
      <diagonal/>
    </border>
    <border>
      <left style="medium">
        <color indexed="64"/>
      </left>
      <right style="medium">
        <color indexed="64"/>
      </right>
      <top style="thin">
        <color theme="3" tint="-0.249977111117893"/>
      </top>
      <bottom style="medium">
        <color indexed="64"/>
      </bottom>
      <diagonal/>
    </border>
    <border>
      <left style="medium">
        <color indexed="64"/>
      </left>
      <right style="thin">
        <color theme="3" tint="-0.249977111117893"/>
      </right>
      <top style="thin">
        <color theme="3" tint="-0.249977111117893"/>
      </top>
      <bottom style="medium">
        <color indexed="64"/>
      </bottom>
      <diagonal/>
    </border>
    <border>
      <left/>
      <right style="medium">
        <color indexed="64"/>
      </right>
      <top style="thin">
        <color theme="3" tint="-0.249977111117893"/>
      </top>
      <bottom style="medium">
        <color indexed="64"/>
      </bottom>
      <diagonal/>
    </border>
    <border>
      <left style="thin">
        <color theme="3" tint="-0.249977111117893"/>
      </left>
      <right style="medium">
        <color indexed="64"/>
      </right>
      <top style="medium">
        <color indexed="64"/>
      </top>
      <bottom style="thin">
        <color theme="3" tint="-0.249977111117893"/>
      </bottom>
      <diagonal/>
    </border>
    <border>
      <left style="medium">
        <color indexed="64"/>
      </left>
      <right style="medium">
        <color indexed="64"/>
      </right>
      <top style="medium">
        <color indexed="64"/>
      </top>
      <bottom style="thin">
        <color theme="3" tint="-0.249977111117893"/>
      </bottom>
      <diagonal/>
    </border>
    <border>
      <left style="medium">
        <color indexed="64"/>
      </left>
      <right style="thin">
        <color theme="3" tint="-0.249977111117893"/>
      </right>
      <top style="medium">
        <color indexed="64"/>
      </top>
      <bottom style="thin">
        <color theme="3" tint="-0.249977111117893"/>
      </bottom>
      <diagonal/>
    </border>
    <border>
      <left/>
      <right style="medium">
        <color indexed="64"/>
      </right>
      <top style="medium">
        <color indexed="64"/>
      </top>
      <bottom style="thin">
        <color theme="3" tint="-0.249977111117893"/>
      </bottom>
      <diagonal/>
    </border>
    <border>
      <left/>
      <right/>
      <top style="thin">
        <color theme="3" tint="-0.249977111117893"/>
      </top>
      <bottom/>
      <diagonal/>
    </border>
    <border>
      <left style="medium">
        <color theme="3" tint="-0.249977111117893"/>
      </left>
      <right style="thin">
        <color theme="3" tint="-0.249977111117893"/>
      </right>
      <top style="medium">
        <color theme="3" tint="-0.249977111117893"/>
      </top>
      <bottom/>
      <diagonal/>
    </border>
    <border>
      <left style="thin">
        <color theme="3" tint="-0.249977111117893"/>
      </left>
      <right style="thin">
        <color theme="3" tint="-0.249977111117893"/>
      </right>
      <top style="medium">
        <color theme="3" tint="-0.249977111117893"/>
      </top>
      <bottom/>
      <diagonal/>
    </border>
    <border>
      <left style="thin">
        <color theme="3" tint="-0.249977111117893"/>
      </left>
      <right style="medium">
        <color theme="3" tint="-0.249977111117893"/>
      </right>
      <top style="medium">
        <color theme="3" tint="-0.249977111117893"/>
      </top>
      <bottom/>
      <diagonal/>
    </border>
    <border>
      <left style="medium">
        <color theme="3" tint="-0.249977111117893"/>
      </left>
      <right style="thin">
        <color theme="3" tint="-0.249977111117893"/>
      </right>
      <top style="medium">
        <color theme="3" tint="-0.249977111117893"/>
      </top>
      <bottom style="thin">
        <color theme="3" tint="-0.249977111117893"/>
      </bottom>
      <diagonal/>
    </border>
    <border>
      <left style="thin">
        <color theme="3" tint="-0.249977111117893"/>
      </left>
      <right style="thin">
        <color theme="3" tint="-0.249977111117893"/>
      </right>
      <top style="medium">
        <color theme="3" tint="-0.249977111117893"/>
      </top>
      <bottom style="thin">
        <color theme="3" tint="-0.249977111117893"/>
      </bottom>
      <diagonal/>
    </border>
    <border>
      <left style="thin">
        <color theme="3" tint="-0.249977111117893"/>
      </left>
      <right style="medium">
        <color theme="3" tint="-0.249977111117893"/>
      </right>
      <top style="medium">
        <color theme="3" tint="-0.249977111117893"/>
      </top>
      <bottom style="thin">
        <color theme="3" tint="-0.249977111117893"/>
      </bottom>
      <diagonal/>
    </border>
    <border>
      <left style="medium">
        <color theme="3" tint="-0.249977111117893"/>
      </left>
      <right style="thin">
        <color theme="3" tint="-0.249977111117893"/>
      </right>
      <top style="thin">
        <color theme="3" tint="-0.249977111117893"/>
      </top>
      <bottom style="thin">
        <color theme="3" tint="-0.249977111117893"/>
      </bottom>
      <diagonal/>
    </border>
    <border>
      <left style="thin">
        <color theme="3" tint="-0.249977111117893"/>
      </left>
      <right style="medium">
        <color theme="3" tint="-0.249977111117893"/>
      </right>
      <top style="thin">
        <color theme="3" tint="-0.249977111117893"/>
      </top>
      <bottom style="thin">
        <color theme="3" tint="-0.249977111117893"/>
      </bottom>
      <diagonal/>
    </border>
    <border>
      <left style="medium">
        <color theme="3" tint="-0.249977111117893"/>
      </left>
      <right style="thin">
        <color theme="3" tint="-0.249977111117893"/>
      </right>
      <top style="thin">
        <color theme="3" tint="-0.249977111117893"/>
      </top>
      <bottom style="medium">
        <color theme="3" tint="-0.249977111117893"/>
      </bottom>
      <diagonal/>
    </border>
    <border>
      <left style="thin">
        <color theme="3" tint="-0.249977111117893"/>
      </left>
      <right style="thin">
        <color theme="3" tint="-0.249977111117893"/>
      </right>
      <top style="thin">
        <color theme="3" tint="-0.249977111117893"/>
      </top>
      <bottom style="medium">
        <color theme="3" tint="-0.249977111117893"/>
      </bottom>
      <diagonal/>
    </border>
    <border>
      <left style="thin">
        <color theme="3" tint="-0.249977111117893"/>
      </left>
      <right style="medium">
        <color theme="3" tint="-0.249977111117893"/>
      </right>
      <top style="thin">
        <color theme="3" tint="-0.249977111117893"/>
      </top>
      <bottom style="medium">
        <color theme="3" tint="-0.249977111117893"/>
      </bottom>
      <diagonal/>
    </border>
    <border>
      <left style="thin">
        <color theme="3" tint="-0.249977111117893"/>
      </left>
      <right/>
      <top style="thin">
        <color theme="3" tint="-0.249977111117893"/>
      </top>
      <bottom style="thin">
        <color theme="3" tint="-0.249977111117893"/>
      </bottom>
      <diagonal/>
    </border>
    <border>
      <left style="medium">
        <color theme="3" tint="-0.249977111117893"/>
      </left>
      <right style="thin">
        <color theme="3" tint="-0.249977111117893"/>
      </right>
      <top/>
      <bottom style="thin">
        <color theme="3" tint="-0.249977111117893"/>
      </bottom>
      <diagonal/>
    </border>
    <border>
      <left style="thin">
        <color theme="3" tint="-0.249977111117893"/>
      </left>
      <right style="thin">
        <color theme="3" tint="-0.249977111117893"/>
      </right>
      <top/>
      <bottom style="thin">
        <color theme="3" tint="-0.249977111117893"/>
      </bottom>
      <diagonal/>
    </border>
    <border>
      <left style="thin">
        <color theme="3" tint="-0.249977111117893"/>
      </left>
      <right style="medium">
        <color theme="3" tint="-0.249977111117893"/>
      </right>
      <top/>
      <bottom style="thin">
        <color theme="3" tint="-0.249977111117893"/>
      </bottom>
      <diagonal/>
    </border>
    <border>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right/>
      <top style="thin">
        <color rgb="FF808080"/>
      </top>
      <bottom style="thin">
        <color rgb="FF808080"/>
      </bottom>
      <diagonal/>
    </border>
    <border>
      <left style="medium">
        <color indexed="64"/>
      </left>
      <right style="thin">
        <color indexed="64"/>
      </right>
      <top style="thin">
        <color indexed="64"/>
      </top>
      <bottom/>
      <diagonal/>
    </border>
    <border>
      <left style="medium">
        <color indexed="64"/>
      </left>
      <right style="thin">
        <color rgb="FF808080"/>
      </right>
      <top style="medium">
        <color indexed="64"/>
      </top>
      <bottom/>
      <diagonal/>
    </border>
    <border>
      <left style="thin">
        <color rgb="FF808080"/>
      </left>
      <right style="thin">
        <color rgb="FF808080"/>
      </right>
      <top style="medium">
        <color indexed="64"/>
      </top>
      <bottom/>
      <diagonal/>
    </border>
    <border>
      <left style="thin">
        <color rgb="FFB7B7B7"/>
      </left>
      <right style="thin">
        <color rgb="FFB7B7B7"/>
      </right>
      <top style="thin">
        <color rgb="FFB7B7B7"/>
      </top>
      <bottom/>
      <diagonal/>
    </border>
    <border>
      <left/>
      <right style="thin">
        <color rgb="FFBFBFBF"/>
      </right>
      <top style="thin">
        <color rgb="FFBFBFBF"/>
      </top>
      <bottom/>
      <diagonal/>
    </border>
  </borders>
  <cellStyleXfs count="2">
    <xf numFmtId="0" fontId="0" fillId="0" borderId="0"/>
    <xf numFmtId="0" fontId="45" fillId="0" borderId="0" applyNumberFormat="0" applyFill="0" applyBorder="0" applyAlignment="0" applyProtection="0"/>
  </cellStyleXfs>
  <cellXfs count="390">
    <xf numFmtId="0" fontId="0" fillId="0" borderId="0" xfId="0"/>
    <xf numFmtId="9" fontId="0" fillId="0" borderId="3" xfId="0" applyNumberFormat="1" applyBorder="1" applyAlignment="1">
      <alignment horizontal="center" vertical="center"/>
    </xf>
    <xf numFmtId="49" fontId="0" fillId="0" borderId="4" xfId="0" applyNumberFormat="1" applyBorder="1" applyAlignment="1">
      <alignment horizontal="center" vertical="center" wrapText="1"/>
    </xf>
    <xf numFmtId="0" fontId="4" fillId="11" borderId="4" xfId="0" applyFont="1" applyFill="1" applyBorder="1" applyAlignment="1">
      <alignment horizontal="left" vertical="center" wrapText="1"/>
    </xf>
    <xf numFmtId="0" fontId="3" fillId="12" borderId="6"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4" fillId="11" borderId="10" xfId="0" applyFont="1" applyFill="1" applyBorder="1" applyAlignment="1">
      <alignment horizontal="left" vertical="center" wrapText="1"/>
    </xf>
    <xf numFmtId="49" fontId="0" fillId="0" borderId="10" xfId="0" applyNumberFormat="1" applyBorder="1" applyAlignment="1">
      <alignment horizontal="center" vertical="center" wrapText="1"/>
    </xf>
    <xf numFmtId="9" fontId="0" fillId="0" borderId="11" xfId="0" applyNumberFormat="1" applyBorder="1" applyAlignment="1">
      <alignment horizontal="center" vertical="center"/>
    </xf>
    <xf numFmtId="49" fontId="0" fillId="0" borderId="14" xfId="0" applyNumberFormat="1" applyBorder="1" applyAlignment="1">
      <alignment horizontal="center" vertical="center" wrapText="1"/>
    </xf>
    <xf numFmtId="9" fontId="0" fillId="0" borderId="15" xfId="0" applyNumberFormat="1" applyBorder="1" applyAlignment="1">
      <alignment horizontal="center" vertical="center"/>
    </xf>
    <xf numFmtId="0" fontId="2" fillId="0" borderId="0" xfId="0" applyFont="1"/>
    <xf numFmtId="0" fontId="2" fillId="3" borderId="0" xfId="0" applyFont="1" applyFill="1"/>
    <xf numFmtId="0" fontId="8" fillId="3" borderId="0" xfId="0" applyFont="1" applyFill="1" applyAlignment="1">
      <alignment horizontal="center" vertical="center" wrapText="1"/>
    </xf>
    <xf numFmtId="0" fontId="13" fillId="6"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3" fillId="9" borderId="2"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2" fillId="23" borderId="0" xfId="0" applyFont="1" applyFill="1"/>
    <xf numFmtId="0" fontId="9" fillId="4" borderId="0" xfId="0" applyFont="1" applyFill="1" applyAlignment="1">
      <alignment horizontal="left" indent="2"/>
    </xf>
    <xf numFmtId="0" fontId="8" fillId="3" borderId="0" xfId="0" applyFont="1" applyFill="1" applyAlignment="1">
      <alignment horizontal="left" vertical="center" indent="1"/>
    </xf>
    <xf numFmtId="0" fontId="6" fillId="25" borderId="0" xfId="0" applyFont="1" applyFill="1" applyAlignment="1">
      <alignment horizontal="left" vertical="center" indent="1"/>
    </xf>
    <xf numFmtId="0" fontId="2" fillId="26" borderId="0" xfId="0" applyFont="1" applyFill="1"/>
    <xf numFmtId="9" fontId="10" fillId="12" borderId="0" xfId="0" applyNumberFormat="1" applyFont="1" applyFill="1" applyAlignment="1">
      <alignment horizontal="center" vertical="center" wrapText="1"/>
    </xf>
    <xf numFmtId="0" fontId="17" fillId="3" borderId="0" xfId="0" applyFont="1" applyFill="1" applyAlignment="1">
      <alignment horizontal="left" vertical="center" indent="1"/>
    </xf>
    <xf numFmtId="0" fontId="18" fillId="23" borderId="0" xfId="0" applyFont="1" applyFill="1"/>
    <xf numFmtId="0" fontId="8" fillId="6"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20" fillId="10"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20" fillId="17"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20" fillId="18"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20" fillId="19"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20" fillId="20"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14" fillId="0" borderId="0" xfId="0" applyFont="1"/>
    <xf numFmtId="0" fontId="23" fillId="28" borderId="20" xfId="0" applyFont="1" applyFill="1" applyBorder="1" applyAlignment="1">
      <alignment horizontal="center" vertical="center" wrapText="1"/>
    </xf>
    <xf numFmtId="0" fontId="38" fillId="12" borderId="7" xfId="0" applyFont="1" applyFill="1" applyBorder="1" applyAlignment="1">
      <alignment horizontal="center" vertical="center" wrapText="1"/>
    </xf>
    <xf numFmtId="0" fontId="3" fillId="12" borderId="30" xfId="0" applyFont="1" applyFill="1" applyBorder="1" applyAlignment="1">
      <alignment horizontal="center" vertical="center" wrapText="1"/>
    </xf>
    <xf numFmtId="0" fontId="3" fillId="12" borderId="31" xfId="0" applyFont="1" applyFill="1" applyBorder="1" applyAlignment="1">
      <alignment horizontal="center" vertical="center" wrapText="1"/>
    </xf>
    <xf numFmtId="0" fontId="3" fillId="12" borderId="32" xfId="0" applyFont="1" applyFill="1" applyBorder="1" applyAlignment="1">
      <alignment horizontal="center" vertical="center" wrapText="1"/>
    </xf>
    <xf numFmtId="0" fontId="0" fillId="30" borderId="0" xfId="0" applyFill="1"/>
    <xf numFmtId="0" fontId="32" fillId="30" borderId="0" xfId="0" applyFont="1" applyFill="1" applyAlignment="1">
      <alignment horizontal="center" vertical="center" wrapText="1"/>
    </xf>
    <xf numFmtId="0" fontId="32" fillId="30" borderId="0" xfId="0" applyFont="1" applyFill="1" applyAlignment="1">
      <alignment horizontal="left" vertical="center" wrapText="1" indent="1"/>
    </xf>
    <xf numFmtId="0" fontId="33" fillId="30" borderId="0" xfId="0" applyFont="1" applyFill="1" applyAlignment="1">
      <alignment horizontal="center" vertical="center"/>
    </xf>
    <xf numFmtId="0" fontId="32" fillId="31" borderId="20" xfId="0" applyFont="1" applyFill="1" applyBorder="1" applyAlignment="1">
      <alignment horizontal="center" vertical="center" wrapText="1"/>
    </xf>
    <xf numFmtId="0" fontId="32" fillId="31" borderId="20" xfId="0" applyFont="1" applyFill="1" applyBorder="1" applyAlignment="1">
      <alignment horizontal="left" vertical="center" wrapText="1" indent="1"/>
    </xf>
    <xf numFmtId="0" fontId="24" fillId="27" borderId="16" xfId="0" applyFont="1" applyFill="1" applyBorder="1" applyAlignment="1">
      <alignment horizontal="center" vertical="center" wrapText="1"/>
    </xf>
    <xf numFmtId="0" fontId="24" fillId="27" borderId="16" xfId="0" applyFont="1" applyFill="1" applyBorder="1" applyAlignment="1">
      <alignment horizontal="left" vertical="center" wrapText="1" indent="1"/>
    </xf>
    <xf numFmtId="0" fontId="23" fillId="32" borderId="16" xfId="0" applyFont="1" applyFill="1" applyBorder="1" applyAlignment="1">
      <alignment horizontal="center" vertical="center" wrapText="1"/>
    </xf>
    <xf numFmtId="0" fontId="31" fillId="30" borderId="0" xfId="0" applyFont="1" applyFill="1" applyAlignment="1">
      <alignment horizontal="left" vertical="top"/>
    </xf>
    <xf numFmtId="0" fontId="0" fillId="33" borderId="0" xfId="0" applyFill="1"/>
    <xf numFmtId="0" fontId="0" fillId="33" borderId="29" xfId="0" applyFill="1" applyBorder="1"/>
    <xf numFmtId="0" fontId="31" fillId="33" borderId="0" xfId="0" applyFont="1" applyFill="1"/>
    <xf numFmtId="0" fontId="22" fillId="33" borderId="0" xfId="0" applyFont="1" applyFill="1" applyAlignment="1">
      <alignment vertical="center"/>
    </xf>
    <xf numFmtId="0" fontId="26" fillId="31" borderId="0" xfId="0" applyFont="1" applyFill="1" applyAlignment="1">
      <alignment vertical="center"/>
    </xf>
    <xf numFmtId="0" fontId="0" fillId="31" borderId="0" xfId="0" applyFill="1"/>
    <xf numFmtId="0" fontId="14" fillId="31" borderId="0" xfId="0" applyFont="1" applyFill="1"/>
    <xf numFmtId="0" fontId="27" fillId="31" borderId="0" xfId="0" applyFont="1" applyFill="1" applyAlignment="1">
      <alignment horizontal="left" vertical="center" indent="1"/>
    </xf>
    <xf numFmtId="0" fontId="36" fillId="31" borderId="0" xfId="0" applyFont="1" applyFill="1" applyAlignment="1">
      <alignment horizontal="left" vertical="center" indent="1"/>
    </xf>
    <xf numFmtId="0" fontId="0" fillId="31" borderId="0" xfId="0" applyFill="1" applyAlignment="1">
      <alignment horizontal="left" indent="1"/>
    </xf>
    <xf numFmtId="0" fontId="35" fillId="31" borderId="0" xfId="0" applyFont="1" applyFill="1" applyAlignment="1">
      <alignment horizontal="left" vertical="center" indent="3"/>
    </xf>
    <xf numFmtId="0" fontId="14" fillId="31" borderId="0" xfId="0" applyFont="1" applyFill="1" applyAlignment="1">
      <alignment horizontal="left" indent="3"/>
    </xf>
    <xf numFmtId="0" fontId="39" fillId="30" borderId="0" xfId="0" applyFont="1" applyFill="1"/>
    <xf numFmtId="0" fontId="19" fillId="23" borderId="0" xfId="0" applyFont="1" applyFill="1"/>
    <xf numFmtId="0" fontId="11" fillId="31" borderId="2" xfId="0" applyFont="1" applyFill="1" applyBorder="1" applyAlignment="1">
      <alignment horizontal="center" vertical="center" wrapText="1"/>
    </xf>
    <xf numFmtId="0" fontId="0" fillId="23" borderId="0" xfId="0" applyFill="1"/>
    <xf numFmtId="0" fontId="1" fillId="23" borderId="0" xfId="0" applyFont="1" applyFill="1" applyAlignment="1">
      <alignment horizontal="left" vertical="center" indent="1"/>
    </xf>
    <xf numFmtId="14" fontId="33" fillId="31" borderId="20" xfId="0" applyNumberFormat="1" applyFont="1" applyFill="1" applyBorder="1" applyAlignment="1">
      <alignment horizontal="center" vertical="center"/>
    </xf>
    <xf numFmtId="0" fontId="0" fillId="0" borderId="33" xfId="0" applyBorder="1" applyAlignment="1">
      <alignment horizontal="left" vertical="center" indent="1"/>
    </xf>
    <xf numFmtId="0" fontId="0" fillId="0" borderId="34" xfId="0" applyBorder="1" applyAlignment="1">
      <alignment horizontal="left" vertical="center" indent="1"/>
    </xf>
    <xf numFmtId="0" fontId="0" fillId="0" borderId="35" xfId="0" applyBorder="1" applyAlignment="1">
      <alignment horizontal="left" vertical="center" indent="1"/>
    </xf>
    <xf numFmtId="0" fontId="0" fillId="0" borderId="42" xfId="0" applyBorder="1" applyAlignment="1">
      <alignment horizontal="left" vertical="center" indent="1"/>
    </xf>
    <xf numFmtId="0" fontId="0" fillId="0" borderId="43" xfId="0" applyBorder="1" applyAlignment="1">
      <alignment horizontal="left" vertical="center" indent="1"/>
    </xf>
    <xf numFmtId="0" fontId="0" fillId="0" borderId="44" xfId="0" applyBorder="1" applyAlignment="1">
      <alignment horizontal="left" vertical="center" indent="1"/>
    </xf>
    <xf numFmtId="0" fontId="0" fillId="0" borderId="36" xfId="0" applyBorder="1" applyAlignment="1">
      <alignment horizontal="left" vertical="center" indent="1"/>
    </xf>
    <xf numFmtId="0" fontId="0" fillId="0" borderId="20" xfId="0" applyBorder="1" applyAlignment="1">
      <alignment horizontal="left" vertical="center" indent="1"/>
    </xf>
    <xf numFmtId="0" fontId="0" fillId="0" borderId="37" xfId="0" applyBorder="1" applyAlignment="1">
      <alignment horizontal="left" vertical="center" indent="1"/>
    </xf>
    <xf numFmtId="0" fontId="0" fillId="0" borderId="38" xfId="0" applyBorder="1" applyAlignment="1">
      <alignment horizontal="left" vertical="center" indent="1"/>
    </xf>
    <xf numFmtId="0" fontId="0" fillId="0" borderId="39" xfId="0" applyBorder="1" applyAlignment="1">
      <alignment horizontal="left" vertical="center" indent="1"/>
    </xf>
    <xf numFmtId="0" fontId="0" fillId="0" borderId="40" xfId="0" applyBorder="1" applyAlignment="1">
      <alignment horizontal="left" vertical="center" indent="1"/>
    </xf>
    <xf numFmtId="0" fontId="45" fillId="3" borderId="0" xfId="1" applyFill="1" applyAlignment="1">
      <alignment horizontal="center" vertical="center" wrapText="1"/>
    </xf>
    <xf numFmtId="0" fontId="0" fillId="0" borderId="0" xfId="0" applyAlignment="1">
      <alignment wrapText="1"/>
    </xf>
    <xf numFmtId="49" fontId="0" fillId="0" borderId="50" xfId="0" applyNumberFormat="1" applyBorder="1" applyAlignment="1">
      <alignment horizontal="center" vertical="center" wrapText="1"/>
    </xf>
    <xf numFmtId="9" fontId="0" fillId="0" borderId="51" xfId="0" applyNumberFormat="1" applyBorder="1" applyAlignment="1">
      <alignment horizontal="center" vertical="center"/>
    </xf>
    <xf numFmtId="0" fontId="47" fillId="0" borderId="0" xfId="0" applyFont="1" applyAlignment="1">
      <alignment vertical="top" wrapText="1"/>
    </xf>
    <xf numFmtId="1" fontId="47" fillId="0" borderId="46" xfId="0" applyNumberFormat="1" applyFont="1" applyBorder="1" applyAlignment="1">
      <alignment horizontal="center" vertical="top" wrapText="1"/>
    </xf>
    <xf numFmtId="0" fontId="24" fillId="0" borderId="16" xfId="0" applyFont="1" applyBorder="1" applyAlignment="1">
      <alignment vertical="center" wrapText="1"/>
    </xf>
    <xf numFmtId="0" fontId="49" fillId="0" borderId="48" xfId="0" applyFont="1" applyBorder="1" applyAlignment="1">
      <alignment vertical="top" wrapText="1"/>
    </xf>
    <xf numFmtId="0" fontId="4" fillId="11" borderId="52" xfId="0" applyFont="1" applyFill="1" applyBorder="1" applyAlignment="1">
      <alignment horizontal="left" vertical="center" wrapText="1"/>
    </xf>
    <xf numFmtId="49" fontId="0" fillId="0" borderId="52" xfId="0" applyNumberFormat="1" applyBorder="1" applyAlignment="1">
      <alignment horizontal="center" vertical="center" wrapText="1"/>
    </xf>
    <xf numFmtId="9" fontId="0" fillId="0" borderId="53" xfId="0" applyNumberFormat="1" applyBorder="1" applyAlignment="1">
      <alignment horizontal="center" vertical="center"/>
    </xf>
    <xf numFmtId="0" fontId="4" fillId="11" borderId="10" xfId="0" applyFont="1" applyFill="1" applyBorder="1" applyAlignment="1">
      <alignment horizontal="justify" vertical="center" wrapText="1"/>
    </xf>
    <xf numFmtId="0" fontId="4" fillId="11" borderId="4" xfId="0" applyFont="1" applyFill="1" applyBorder="1" applyAlignment="1">
      <alignment horizontal="justify" vertical="center" wrapText="1"/>
    </xf>
    <xf numFmtId="0" fontId="24" fillId="0" borderId="4" xfId="0" applyFont="1" applyBorder="1" applyAlignment="1">
      <alignment horizontal="justify" vertical="center" wrapText="1"/>
    </xf>
    <xf numFmtId="0" fontId="24" fillId="0" borderId="14" xfId="0" applyFont="1" applyBorder="1" applyAlignment="1">
      <alignment horizontal="justify" vertical="center" wrapText="1"/>
    </xf>
    <xf numFmtId="0" fontId="50" fillId="47" borderId="47" xfId="0" applyFont="1" applyFill="1" applyBorder="1" applyAlignment="1">
      <alignment horizontal="left" vertical="center" wrapText="1" indent="1"/>
    </xf>
    <xf numFmtId="0" fontId="2" fillId="23" borderId="0" xfId="0" applyFont="1" applyFill="1" applyAlignment="1">
      <alignment horizontal="center"/>
    </xf>
    <xf numFmtId="0" fontId="2" fillId="0" borderId="0" xfId="0" applyFont="1" applyAlignment="1">
      <alignment horizontal="center"/>
    </xf>
    <xf numFmtId="0" fontId="4" fillId="11" borderId="52" xfId="0" applyFont="1" applyFill="1" applyBorder="1" applyAlignment="1">
      <alignment horizontal="justify" vertical="center" wrapText="1"/>
    </xf>
    <xf numFmtId="0" fontId="4" fillId="49" borderId="10" xfId="0" applyFont="1" applyFill="1" applyBorder="1" applyAlignment="1">
      <alignment horizontal="justify" vertical="center" wrapText="1"/>
    </xf>
    <xf numFmtId="0" fontId="4" fillId="48" borderId="10" xfId="0" applyFont="1" applyFill="1" applyBorder="1" applyAlignment="1">
      <alignment horizontal="left" vertical="center" wrapText="1"/>
    </xf>
    <xf numFmtId="0" fontId="4" fillId="49" borderId="4" xfId="0" applyFont="1" applyFill="1" applyBorder="1" applyAlignment="1">
      <alignment horizontal="justify" vertical="center" wrapText="1"/>
    </xf>
    <xf numFmtId="0" fontId="4" fillId="48" borderId="4" xfId="0" applyFont="1" applyFill="1" applyBorder="1" applyAlignment="1">
      <alignment horizontal="left" vertical="center" wrapText="1"/>
    </xf>
    <xf numFmtId="0" fontId="47" fillId="50" borderId="46" xfId="0" applyFont="1" applyFill="1" applyBorder="1" applyAlignment="1">
      <alignment horizontal="justify" vertical="center" wrapText="1"/>
    </xf>
    <xf numFmtId="0" fontId="4" fillId="49" borderId="52" xfId="0" applyFont="1" applyFill="1" applyBorder="1" applyAlignment="1">
      <alignment horizontal="justify" vertical="center" wrapText="1"/>
    </xf>
    <xf numFmtId="0" fontId="4" fillId="48" borderId="52" xfId="0" applyFont="1" applyFill="1" applyBorder="1" applyAlignment="1">
      <alignment horizontal="left" vertical="center" wrapText="1"/>
    </xf>
    <xf numFmtId="0" fontId="47" fillId="0" borderId="4" xfId="0" applyFont="1" applyBorder="1" applyAlignment="1">
      <alignment horizontal="justify" vertical="center" wrapText="1"/>
    </xf>
    <xf numFmtId="0" fontId="47" fillId="0" borderId="4" xfId="0" applyFont="1" applyBorder="1" applyAlignment="1">
      <alignment horizontal="center" vertical="center" wrapText="1"/>
    </xf>
    <xf numFmtId="0" fontId="47" fillId="0" borderId="10" xfId="0" applyFont="1" applyBorder="1" applyAlignment="1">
      <alignment horizontal="justify" vertical="center" wrapText="1"/>
    </xf>
    <xf numFmtId="0" fontId="47" fillId="51" borderId="10" xfId="0" applyFont="1" applyFill="1" applyBorder="1" applyAlignment="1">
      <alignment horizontal="justify" vertical="center" wrapText="1"/>
    </xf>
    <xf numFmtId="0" fontId="4" fillId="52" borderId="10" xfId="0" applyFont="1" applyFill="1" applyBorder="1" applyAlignment="1">
      <alignment horizontal="left" vertical="center" wrapText="1"/>
    </xf>
    <xf numFmtId="0" fontId="47" fillId="51" borderId="4" xfId="0" applyFont="1" applyFill="1" applyBorder="1" applyAlignment="1">
      <alignment horizontal="justify" vertical="center" wrapText="1"/>
    </xf>
    <xf numFmtId="0" fontId="4" fillId="52" borderId="4" xfId="0" applyFont="1" applyFill="1" applyBorder="1" applyAlignment="1">
      <alignment horizontal="left" vertical="center" wrapText="1"/>
    </xf>
    <xf numFmtId="0" fontId="47" fillId="51" borderId="14" xfId="0" applyFont="1" applyFill="1" applyBorder="1" applyAlignment="1">
      <alignment horizontal="justify" vertical="center" wrapText="1"/>
    </xf>
    <xf numFmtId="0" fontId="4" fillId="52" borderId="14" xfId="0" applyFont="1" applyFill="1" applyBorder="1" applyAlignment="1">
      <alignment horizontal="left" vertical="center" wrapText="1"/>
    </xf>
    <xf numFmtId="0" fontId="47" fillId="53" borderId="10" xfId="0" applyFont="1" applyFill="1" applyBorder="1" applyAlignment="1">
      <alignment horizontal="justify" vertical="center" wrapText="1"/>
    </xf>
    <xf numFmtId="0" fontId="4" fillId="54" borderId="10" xfId="0" applyFont="1" applyFill="1" applyBorder="1" applyAlignment="1">
      <alignment horizontal="left" vertical="center" wrapText="1"/>
    </xf>
    <xf numFmtId="0" fontId="47" fillId="53" borderId="4" xfId="0" applyFont="1" applyFill="1" applyBorder="1" applyAlignment="1">
      <alignment horizontal="justify" vertical="center" wrapText="1"/>
    </xf>
    <xf numFmtId="0" fontId="4" fillId="54" borderId="4" xfId="0" applyFont="1" applyFill="1" applyBorder="1" applyAlignment="1">
      <alignment horizontal="left" vertical="center" wrapText="1"/>
    </xf>
    <xf numFmtId="0" fontId="47" fillId="53" borderId="14" xfId="0" applyFont="1" applyFill="1" applyBorder="1" applyAlignment="1">
      <alignment horizontal="justify" vertical="center" wrapText="1"/>
    </xf>
    <xf numFmtId="0" fontId="4" fillId="54" borderId="14" xfId="0" applyFont="1" applyFill="1" applyBorder="1" applyAlignment="1">
      <alignment horizontal="left" vertical="center" wrapText="1"/>
    </xf>
    <xf numFmtId="0" fontId="47" fillId="33" borderId="10" xfId="0" applyFont="1" applyFill="1" applyBorder="1" applyAlignment="1">
      <alignment horizontal="justify" vertical="center" wrapText="1"/>
    </xf>
    <xf numFmtId="0" fontId="4" fillId="55" borderId="10" xfId="0" applyFont="1" applyFill="1" applyBorder="1" applyAlignment="1">
      <alignment horizontal="left" vertical="center" wrapText="1"/>
    </xf>
    <xf numFmtId="0" fontId="47" fillId="33" borderId="4" xfId="0" applyFont="1" applyFill="1" applyBorder="1" applyAlignment="1">
      <alignment horizontal="justify" vertical="center" wrapText="1"/>
    </xf>
    <xf numFmtId="0" fontId="4" fillId="55" borderId="4" xfId="0" applyFont="1" applyFill="1" applyBorder="1" applyAlignment="1">
      <alignment horizontal="left" vertical="center" wrapText="1"/>
    </xf>
    <xf numFmtId="0" fontId="47" fillId="33" borderId="14" xfId="0" applyFont="1" applyFill="1" applyBorder="1" applyAlignment="1">
      <alignment horizontal="justify" vertical="center" wrapText="1"/>
    </xf>
    <xf numFmtId="0" fontId="4" fillId="55" borderId="14" xfId="0" applyFont="1" applyFill="1" applyBorder="1" applyAlignment="1">
      <alignment horizontal="left" vertical="center" wrapText="1"/>
    </xf>
    <xf numFmtId="0" fontId="47" fillId="56" borderId="10" xfId="0" applyFont="1" applyFill="1" applyBorder="1" applyAlignment="1">
      <alignment horizontal="justify" vertical="center" wrapText="1"/>
    </xf>
    <xf numFmtId="0" fontId="4" fillId="57" borderId="10" xfId="0" applyFont="1" applyFill="1" applyBorder="1" applyAlignment="1">
      <alignment horizontal="left" vertical="center" wrapText="1"/>
    </xf>
    <xf numFmtId="0" fontId="47" fillId="56" borderId="4" xfId="0" applyFont="1" applyFill="1" applyBorder="1" applyAlignment="1">
      <alignment horizontal="justify" vertical="center" wrapText="1"/>
    </xf>
    <xf numFmtId="0" fontId="4" fillId="57" borderId="4" xfId="0" applyFont="1" applyFill="1" applyBorder="1" applyAlignment="1">
      <alignment horizontal="left" vertical="center" wrapText="1"/>
    </xf>
    <xf numFmtId="0" fontId="47" fillId="56" borderId="14" xfId="0" applyFont="1" applyFill="1" applyBorder="1" applyAlignment="1">
      <alignment horizontal="justify" vertical="center" wrapText="1"/>
    </xf>
    <xf numFmtId="0" fontId="4" fillId="57" borderId="14" xfId="0" applyFont="1" applyFill="1" applyBorder="1" applyAlignment="1">
      <alignment horizontal="left" vertical="center" wrapText="1"/>
    </xf>
    <xf numFmtId="0" fontId="47" fillId="31" borderId="10" xfId="0" applyFont="1" applyFill="1" applyBorder="1" applyAlignment="1">
      <alignment horizontal="justify" vertical="center" wrapText="1"/>
    </xf>
    <xf numFmtId="0" fontId="4" fillId="58" borderId="10" xfId="0" applyFont="1" applyFill="1" applyBorder="1" applyAlignment="1">
      <alignment horizontal="left" vertical="center" wrapText="1"/>
    </xf>
    <xf numFmtId="0" fontId="47" fillId="31" borderId="4" xfId="0" applyFont="1" applyFill="1" applyBorder="1" applyAlignment="1">
      <alignment horizontal="justify" vertical="center" wrapText="1"/>
    </xf>
    <xf numFmtId="0" fontId="4" fillId="58" borderId="4" xfId="0" applyFont="1" applyFill="1" applyBorder="1" applyAlignment="1">
      <alignment horizontal="left" vertical="center" wrapText="1"/>
    </xf>
    <xf numFmtId="0" fontId="47" fillId="31" borderId="14" xfId="0" applyFont="1" applyFill="1" applyBorder="1" applyAlignment="1">
      <alignment horizontal="justify" vertical="center" wrapText="1"/>
    </xf>
    <xf numFmtId="0" fontId="4" fillId="58" borderId="14" xfId="0" applyFont="1" applyFill="1" applyBorder="1" applyAlignment="1">
      <alignment horizontal="left" vertical="center" wrapText="1"/>
    </xf>
    <xf numFmtId="0" fontId="47" fillId="59" borderId="10" xfId="0" applyFont="1" applyFill="1" applyBorder="1" applyAlignment="1">
      <alignment horizontal="justify" vertical="center" wrapText="1"/>
    </xf>
    <xf numFmtId="0" fontId="4" fillId="60" borderId="10" xfId="0" applyFont="1" applyFill="1" applyBorder="1" applyAlignment="1">
      <alignment horizontal="left" vertical="center" wrapText="1"/>
    </xf>
    <xf numFmtId="0" fontId="47" fillId="59" borderId="4" xfId="0" applyFont="1" applyFill="1" applyBorder="1" applyAlignment="1">
      <alignment horizontal="justify" vertical="center" wrapText="1"/>
    </xf>
    <xf numFmtId="0" fontId="4" fillId="60" borderId="4" xfId="0" applyFont="1" applyFill="1" applyBorder="1" applyAlignment="1">
      <alignment horizontal="left" vertical="center" wrapText="1"/>
    </xf>
    <xf numFmtId="0" fontId="47" fillId="59" borderId="14" xfId="0" applyFont="1" applyFill="1" applyBorder="1" applyAlignment="1">
      <alignment horizontal="justify" vertical="center" wrapText="1"/>
    </xf>
    <xf numFmtId="0" fontId="4" fillId="60" borderId="14" xfId="0" applyFont="1" applyFill="1" applyBorder="1" applyAlignment="1">
      <alignment horizontal="left" vertical="center" wrapText="1"/>
    </xf>
    <xf numFmtId="0" fontId="47" fillId="61" borderId="10" xfId="0" applyFont="1" applyFill="1" applyBorder="1" applyAlignment="1">
      <alignment horizontal="justify" vertical="center" wrapText="1"/>
    </xf>
    <xf numFmtId="0" fontId="4" fillId="62" borderId="10" xfId="0" applyFont="1" applyFill="1" applyBorder="1" applyAlignment="1">
      <alignment horizontal="left" vertical="center" wrapText="1"/>
    </xf>
    <xf numFmtId="0" fontId="47" fillId="61" borderId="4" xfId="0" applyFont="1" applyFill="1" applyBorder="1" applyAlignment="1">
      <alignment horizontal="justify" vertical="center" wrapText="1"/>
    </xf>
    <xf numFmtId="0" fontId="4" fillId="62" borderId="4" xfId="0" applyFont="1" applyFill="1" applyBorder="1" applyAlignment="1">
      <alignment horizontal="left" vertical="center" wrapText="1"/>
    </xf>
    <xf numFmtId="0" fontId="47" fillId="61" borderId="14" xfId="0" applyFont="1" applyFill="1" applyBorder="1" applyAlignment="1">
      <alignment horizontal="justify" vertical="center" wrapText="1"/>
    </xf>
    <xf numFmtId="0" fontId="4" fillId="62" borderId="14" xfId="0" applyFont="1" applyFill="1" applyBorder="1" applyAlignment="1">
      <alignment horizontal="left" vertical="center" wrapText="1"/>
    </xf>
    <xf numFmtId="0" fontId="47" fillId="63" borderId="10" xfId="0" applyFont="1" applyFill="1" applyBorder="1" applyAlignment="1">
      <alignment horizontal="justify" vertical="center" wrapText="1"/>
    </xf>
    <xf numFmtId="0" fontId="4" fillId="64" borderId="10" xfId="0" applyFont="1" applyFill="1" applyBorder="1" applyAlignment="1">
      <alignment horizontal="left" vertical="center" wrapText="1"/>
    </xf>
    <xf numFmtId="0" fontId="47" fillId="63" borderId="4" xfId="0" applyFont="1" applyFill="1" applyBorder="1" applyAlignment="1">
      <alignment horizontal="justify" vertical="center" wrapText="1"/>
    </xf>
    <xf numFmtId="0" fontId="4" fillId="64" borderId="4" xfId="0" applyFont="1" applyFill="1" applyBorder="1" applyAlignment="1">
      <alignment horizontal="left" vertical="center" wrapText="1"/>
    </xf>
    <xf numFmtId="0" fontId="47" fillId="63" borderId="14" xfId="0" applyFont="1" applyFill="1" applyBorder="1" applyAlignment="1">
      <alignment horizontal="justify" vertical="center" wrapText="1"/>
    </xf>
    <xf numFmtId="0" fontId="4" fillId="64" borderId="14" xfId="0" applyFont="1" applyFill="1" applyBorder="1" applyAlignment="1">
      <alignment horizontal="left" vertical="center" wrapText="1"/>
    </xf>
    <xf numFmtId="0" fontId="47" fillId="50" borderId="10" xfId="0" applyFont="1" applyFill="1" applyBorder="1" applyAlignment="1">
      <alignment horizontal="justify" vertical="center" wrapText="1"/>
    </xf>
    <xf numFmtId="0" fontId="4" fillId="49" borderId="10" xfId="0" applyFont="1" applyFill="1" applyBorder="1" applyAlignment="1">
      <alignment horizontal="left" vertical="center" wrapText="1"/>
    </xf>
    <xf numFmtId="0" fontId="47" fillId="50" borderId="4" xfId="0" applyFont="1" applyFill="1" applyBorder="1" applyAlignment="1">
      <alignment horizontal="justify" vertical="center" wrapText="1"/>
    </xf>
    <xf numFmtId="0" fontId="4" fillId="49" borderId="4" xfId="0" applyFont="1" applyFill="1" applyBorder="1" applyAlignment="1">
      <alignment horizontal="left" vertical="center" wrapText="1"/>
    </xf>
    <xf numFmtId="0" fontId="47" fillId="50" borderId="14" xfId="0" applyFont="1" applyFill="1" applyBorder="1" applyAlignment="1">
      <alignment horizontal="justify" vertical="center" wrapText="1"/>
    </xf>
    <xf numFmtId="0" fontId="4" fillId="49" borderId="14" xfId="0" applyFont="1" applyFill="1" applyBorder="1" applyAlignment="1">
      <alignment horizontal="left" vertical="center" wrapText="1"/>
    </xf>
    <xf numFmtId="0" fontId="49" fillId="29" borderId="50" xfId="0" applyFont="1" applyFill="1" applyBorder="1" applyAlignment="1">
      <alignment horizontal="justify" vertical="center" wrapText="1"/>
    </xf>
    <xf numFmtId="0" fontId="0" fillId="29" borderId="50" xfId="0" applyFill="1" applyBorder="1"/>
    <xf numFmtId="0" fontId="24" fillId="29" borderId="4" xfId="0" applyFont="1" applyFill="1" applyBorder="1" applyAlignment="1">
      <alignment horizontal="justify" vertical="center" wrapText="1"/>
    </xf>
    <xf numFmtId="0" fontId="0" fillId="29" borderId="4" xfId="0" applyFill="1" applyBorder="1"/>
    <xf numFmtId="0" fontId="24" fillId="29" borderId="14" xfId="0" applyFont="1" applyFill="1" applyBorder="1" applyAlignment="1">
      <alignment horizontal="justify" vertical="center" wrapText="1"/>
    </xf>
    <xf numFmtId="0" fontId="0" fillId="29" borderId="14" xfId="0" applyFill="1" applyBorder="1"/>
    <xf numFmtId="0" fontId="3" fillId="2" borderId="58" xfId="0" applyFont="1" applyFill="1" applyBorder="1" applyAlignment="1">
      <alignment horizontal="center" vertical="center" wrapText="1"/>
    </xf>
    <xf numFmtId="0" fontId="3" fillId="2" borderId="59" xfId="0" applyFont="1" applyFill="1" applyBorder="1" applyAlignment="1">
      <alignment horizontal="center" vertical="center" wrapText="1"/>
    </xf>
    <xf numFmtId="0" fontId="10" fillId="38" borderId="60" xfId="0" applyFont="1" applyFill="1" applyBorder="1" applyAlignment="1">
      <alignment horizontal="center" vertical="center" wrapText="1"/>
    </xf>
    <xf numFmtId="0" fontId="10" fillId="40" borderId="60" xfId="0" applyFont="1" applyFill="1" applyBorder="1" applyAlignment="1">
      <alignment horizontal="center" vertical="center" wrapText="1"/>
    </xf>
    <xf numFmtId="0" fontId="10" fillId="42" borderId="60" xfId="0" applyFont="1" applyFill="1" applyBorder="1" applyAlignment="1">
      <alignment horizontal="center" vertical="center" wrapText="1"/>
    </xf>
    <xf numFmtId="0" fontId="10" fillId="44" borderId="60" xfId="0" applyFont="1" applyFill="1" applyBorder="1" applyAlignment="1">
      <alignment horizontal="center" vertical="center" wrapText="1"/>
    </xf>
    <xf numFmtId="0" fontId="10" fillId="46" borderId="60" xfId="0" applyFont="1" applyFill="1" applyBorder="1" applyAlignment="1">
      <alignment horizontal="center" vertical="center" wrapText="1"/>
    </xf>
    <xf numFmtId="0" fontId="46" fillId="36" borderId="61" xfId="0" applyFont="1" applyFill="1" applyBorder="1" applyAlignment="1">
      <alignment horizontal="center" vertical="center" wrapText="1"/>
    </xf>
    <xf numFmtId="0" fontId="46" fillId="36" borderId="47" xfId="0" applyFont="1" applyFill="1" applyBorder="1" applyAlignment="1">
      <alignment horizontal="center" vertical="center" wrapText="1"/>
    </xf>
    <xf numFmtId="0" fontId="0" fillId="0" borderId="9" xfId="0" applyBorder="1" applyAlignment="1">
      <alignment horizontal="center" vertical="center"/>
    </xf>
    <xf numFmtId="0" fontId="47" fillId="0" borderId="10" xfId="0" applyFont="1" applyBorder="1" applyAlignment="1">
      <alignment horizontal="center" vertical="center" wrapText="1"/>
    </xf>
    <xf numFmtId="1" fontId="47" fillId="0" borderId="10" xfId="0" applyNumberFormat="1" applyFont="1" applyBorder="1" applyAlignment="1">
      <alignment horizontal="center" vertical="center" wrapText="1"/>
    </xf>
    <xf numFmtId="0" fontId="0" fillId="0" borderId="12" xfId="0" applyBorder="1" applyAlignment="1">
      <alignment horizontal="center" vertical="center"/>
    </xf>
    <xf numFmtId="1" fontId="47" fillId="0" borderId="4" xfId="0" applyNumberFormat="1" applyFont="1" applyBorder="1" applyAlignment="1">
      <alignment horizontal="center" vertical="center" wrapText="1"/>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 fontId="47" fillId="0" borderId="14" xfId="0" applyNumberFormat="1" applyFont="1" applyBorder="1" applyAlignment="1">
      <alignment horizontal="center" vertical="center" wrapText="1"/>
    </xf>
    <xf numFmtId="0" fontId="48" fillId="39" borderId="10" xfId="0" applyFont="1" applyFill="1" applyBorder="1" applyAlignment="1">
      <alignment horizontal="justify" vertical="center" wrapText="1"/>
    </xf>
    <xf numFmtId="0" fontId="48" fillId="43" borderId="10" xfId="0" applyFont="1" applyFill="1" applyBorder="1" applyAlignment="1">
      <alignment horizontal="justify" vertical="center" wrapText="1"/>
    </xf>
    <xf numFmtId="0" fontId="48" fillId="45" borderId="10" xfId="0" applyFont="1" applyFill="1" applyBorder="1" applyAlignment="1">
      <alignment horizontal="justify" vertical="center" wrapText="1"/>
    </xf>
    <xf numFmtId="0" fontId="48" fillId="37" borderId="4" xfId="0" applyFont="1" applyFill="1" applyBorder="1" applyAlignment="1">
      <alignment horizontal="justify" vertical="center" wrapText="1"/>
    </xf>
    <xf numFmtId="0" fontId="48" fillId="39" borderId="4" xfId="0" applyFont="1" applyFill="1" applyBorder="1" applyAlignment="1">
      <alignment horizontal="justify" vertical="center" wrapText="1"/>
    </xf>
    <xf numFmtId="0" fontId="48" fillId="41" borderId="4" xfId="0" applyFont="1" applyFill="1" applyBorder="1" applyAlignment="1">
      <alignment horizontal="justify" vertical="center" wrapText="1"/>
    </xf>
    <xf numFmtId="0" fontId="48" fillId="43" borderId="4" xfId="0" applyFont="1" applyFill="1" applyBorder="1" applyAlignment="1">
      <alignment horizontal="justify" vertical="center" wrapText="1"/>
    </xf>
    <xf numFmtId="0" fontId="48" fillId="45" borderId="4" xfId="0" applyFont="1" applyFill="1" applyBorder="1" applyAlignment="1">
      <alignment horizontal="justify" vertical="center" wrapText="1"/>
    </xf>
    <xf numFmtId="0" fontId="49" fillId="0" borderId="4" xfId="0" applyFont="1" applyBorder="1" applyAlignment="1">
      <alignment horizontal="justify" vertical="center" wrapText="1"/>
    </xf>
    <xf numFmtId="0" fontId="0" fillId="0" borderId="4" xfId="0" applyBorder="1" applyAlignment="1">
      <alignment horizontal="justify" vertical="center" wrapText="1"/>
    </xf>
    <xf numFmtId="0" fontId="0" fillId="0" borderId="14" xfId="0" applyBorder="1" applyAlignment="1">
      <alignment horizontal="justify" vertical="center" wrapText="1"/>
    </xf>
    <xf numFmtId="0" fontId="47" fillId="0" borderId="11" xfId="0" applyFont="1" applyBorder="1" applyAlignment="1">
      <alignment horizontal="center" vertical="center" wrapText="1"/>
    </xf>
    <xf numFmtId="0" fontId="47" fillId="0" borderId="3" xfId="0" applyFont="1" applyBorder="1" applyAlignment="1">
      <alignment horizontal="center" vertical="center" wrapText="1"/>
    </xf>
    <xf numFmtId="0" fontId="48" fillId="37" borderId="14" xfId="0" applyFont="1" applyFill="1" applyBorder="1" applyAlignment="1">
      <alignment horizontal="justify" vertical="center" wrapText="1"/>
    </xf>
    <xf numFmtId="0" fontId="48" fillId="39" borderId="14" xfId="0" applyFont="1" applyFill="1" applyBorder="1" applyAlignment="1">
      <alignment horizontal="justify" vertical="center" wrapText="1"/>
    </xf>
    <xf numFmtId="0" fontId="48" fillId="41" borderId="14" xfId="0" applyFont="1" applyFill="1" applyBorder="1" applyAlignment="1">
      <alignment horizontal="justify" vertical="center" wrapText="1"/>
    </xf>
    <xf numFmtId="0" fontId="48" fillId="43" borderId="14" xfId="0" applyFont="1" applyFill="1" applyBorder="1" applyAlignment="1">
      <alignment horizontal="justify" vertical="center" wrapText="1"/>
    </xf>
    <xf numFmtId="0" fontId="48" fillId="45" borderId="14" xfId="0" applyFont="1" applyFill="1" applyBorder="1" applyAlignment="1">
      <alignment horizontal="justify" vertical="center" wrapText="1"/>
    </xf>
    <xf numFmtId="0" fontId="51" fillId="39" borderId="4" xfId="0" applyFont="1" applyFill="1" applyBorder="1" applyAlignment="1">
      <alignment horizontal="justify" vertical="center" wrapText="1"/>
    </xf>
    <xf numFmtId="0" fontId="51" fillId="37" borderId="10" xfId="0" applyFont="1" applyFill="1" applyBorder="1" applyAlignment="1">
      <alignment horizontal="justify" vertical="center" wrapText="1"/>
    </xf>
    <xf numFmtId="0" fontId="51" fillId="41" borderId="10" xfId="0" applyFont="1" applyFill="1" applyBorder="1" applyAlignment="1">
      <alignment horizontal="justify" vertical="center" wrapText="1"/>
    </xf>
    <xf numFmtId="0" fontId="11" fillId="21" borderId="0" xfId="0" applyFont="1" applyFill="1" applyAlignment="1">
      <alignment horizontal="left" vertical="top" wrapText="1"/>
    </xf>
    <xf numFmtId="0" fontId="8" fillId="3" borderId="0" xfId="0" applyFont="1" applyFill="1" applyAlignment="1">
      <alignment horizontal="center" vertical="center" wrapText="1"/>
    </xf>
    <xf numFmtId="0" fontId="44" fillId="21" borderId="0" xfId="0" applyFont="1" applyFill="1" applyAlignment="1">
      <alignment horizontal="center" vertical="center" wrapText="1"/>
    </xf>
    <xf numFmtId="0" fontId="10" fillId="22" borderId="0" xfId="0" applyFont="1" applyFill="1" applyAlignment="1">
      <alignment horizontal="center" vertical="center"/>
    </xf>
    <xf numFmtId="0" fontId="13" fillId="6" borderId="1" xfId="0" applyFont="1" applyFill="1" applyBorder="1" applyAlignment="1">
      <alignment horizontal="center" vertical="center" wrapText="1"/>
    </xf>
    <xf numFmtId="0" fontId="13" fillId="6" borderId="45" xfId="0" applyFont="1" applyFill="1" applyBorder="1" applyAlignment="1">
      <alignment horizontal="center" vertical="center" wrapText="1"/>
    </xf>
    <xf numFmtId="0" fontId="12" fillId="12" borderId="0" xfId="0" applyFont="1" applyFill="1" applyAlignment="1">
      <alignment horizontal="center" vertical="center" wrapText="1"/>
    </xf>
    <xf numFmtId="0" fontId="13" fillId="10" borderId="1" xfId="0" applyFont="1" applyFill="1" applyBorder="1" applyAlignment="1">
      <alignment horizontal="center" vertical="center" wrapText="1"/>
    </xf>
    <xf numFmtId="0" fontId="13" fillId="10" borderId="45" xfId="0" applyFont="1" applyFill="1" applyBorder="1" applyAlignment="1">
      <alignment horizontal="center" vertical="center" wrapText="1"/>
    </xf>
    <xf numFmtId="9" fontId="7" fillId="12" borderId="0" xfId="0" applyNumberFormat="1" applyFont="1" applyFill="1" applyAlignment="1">
      <alignment horizontal="center" vertical="center" wrapText="1"/>
    </xf>
    <xf numFmtId="0" fontId="7" fillId="12" borderId="0" xfId="0" applyFont="1" applyFill="1" applyAlignment="1">
      <alignment horizontal="center" vertical="center" wrapText="1"/>
    </xf>
    <xf numFmtId="0" fontId="13" fillId="7" borderId="1" xfId="0" applyFont="1" applyFill="1" applyBorder="1" applyAlignment="1">
      <alignment horizontal="center" vertical="center" wrapText="1"/>
    </xf>
    <xf numFmtId="0" fontId="13" fillId="7" borderId="45" xfId="0" applyFont="1" applyFill="1" applyBorder="1" applyAlignment="1">
      <alignment horizontal="center" vertical="center" wrapText="1"/>
    </xf>
    <xf numFmtId="0" fontId="0" fillId="25" borderId="0" xfId="0" applyFill="1" applyAlignment="1">
      <alignment horizontal="left" vertical="center" indent="1"/>
    </xf>
    <xf numFmtId="0" fontId="7" fillId="2" borderId="0" xfId="0" applyFont="1" applyFill="1" applyAlignment="1">
      <alignment horizontal="center" vertical="center" wrapText="1"/>
    </xf>
    <xf numFmtId="0" fontId="45" fillId="3" borderId="0" xfId="1" applyFill="1" applyAlignment="1">
      <alignment horizontal="center" vertical="center" wrapText="1"/>
    </xf>
    <xf numFmtId="0" fontId="15" fillId="24" borderId="0" xfId="0" applyFont="1" applyFill="1" applyAlignment="1">
      <alignment horizontal="left" vertical="center" wrapText="1" indent="1"/>
    </xf>
    <xf numFmtId="0" fontId="16" fillId="3" borderId="0" xfId="0" applyFont="1" applyFill="1" applyAlignment="1">
      <alignment horizontal="center" vertical="center" wrapText="1"/>
    </xf>
    <xf numFmtId="0" fontId="2" fillId="5" borderId="4" xfId="0" applyFont="1" applyFill="1" applyBorder="1"/>
    <xf numFmtId="0" fontId="17" fillId="65" borderId="0" xfId="0" applyFont="1" applyFill="1" applyAlignment="1">
      <alignment horizontal="left" vertical="center" wrapText="1" indent="1"/>
    </xf>
    <xf numFmtId="0" fontId="8" fillId="2" borderId="0" xfId="0" applyFont="1" applyFill="1" applyAlignment="1">
      <alignment horizontal="center" vertical="center" wrapText="1"/>
    </xf>
    <xf numFmtId="0" fontId="47" fillId="61" borderId="9" xfId="0" applyFont="1" applyFill="1" applyBorder="1" applyAlignment="1">
      <alignment horizontal="center" vertical="center" wrapText="1"/>
    </xf>
    <xf numFmtId="0" fontId="47" fillId="61" borderId="12" xfId="0" applyFont="1" applyFill="1" applyBorder="1" applyAlignment="1">
      <alignment horizontal="center" vertical="center" wrapText="1"/>
    </xf>
    <xf numFmtId="0" fontId="47" fillId="61" borderId="13" xfId="0" applyFont="1" applyFill="1" applyBorder="1" applyAlignment="1">
      <alignment horizontal="center" vertical="center" wrapText="1"/>
    </xf>
    <xf numFmtId="0" fontId="47" fillId="63" borderId="9" xfId="0" applyFont="1" applyFill="1" applyBorder="1" applyAlignment="1">
      <alignment horizontal="center" vertical="center" wrapText="1"/>
    </xf>
    <xf numFmtId="0" fontId="47" fillId="63" borderId="12" xfId="0" applyFont="1" applyFill="1" applyBorder="1" applyAlignment="1">
      <alignment horizontal="center" vertical="center" wrapText="1"/>
    </xf>
    <xf numFmtId="0" fontId="47" fillId="63" borderId="13" xfId="0" applyFont="1" applyFill="1" applyBorder="1" applyAlignment="1">
      <alignment horizontal="center" vertical="center" wrapText="1"/>
    </xf>
    <xf numFmtId="0" fontId="47" fillId="50" borderId="9" xfId="0" applyFont="1" applyFill="1" applyBorder="1" applyAlignment="1">
      <alignment horizontal="center" vertical="center" wrapText="1"/>
    </xf>
    <xf numFmtId="0" fontId="47" fillId="50" borderId="12" xfId="0" applyFont="1" applyFill="1" applyBorder="1" applyAlignment="1">
      <alignment horizontal="center" vertical="center" wrapText="1"/>
    </xf>
    <xf numFmtId="0" fontId="47" fillId="50" borderId="13" xfId="0" applyFont="1" applyFill="1" applyBorder="1" applyAlignment="1">
      <alignment horizontal="center" vertical="center" wrapText="1"/>
    </xf>
    <xf numFmtId="0" fontId="49" fillId="29" borderId="49" xfId="0" applyFont="1" applyFill="1" applyBorder="1" applyAlignment="1">
      <alignment horizontal="center" vertical="center" wrapText="1"/>
    </xf>
    <xf numFmtId="0" fontId="47" fillId="29" borderId="12" xfId="0" applyFont="1" applyFill="1" applyBorder="1" applyAlignment="1">
      <alignment horizontal="center" vertical="center" wrapText="1"/>
    </xf>
    <xf numFmtId="0" fontId="47" fillId="29" borderId="13" xfId="0" applyFont="1" applyFill="1" applyBorder="1" applyAlignment="1">
      <alignment horizontal="center" vertical="center" wrapText="1"/>
    </xf>
    <xf numFmtId="0" fontId="47" fillId="51" borderId="9" xfId="0" applyFont="1" applyFill="1" applyBorder="1" applyAlignment="1">
      <alignment horizontal="center" vertical="center" wrapText="1"/>
    </xf>
    <xf numFmtId="0" fontId="47" fillId="51" borderId="12" xfId="0" applyFont="1" applyFill="1" applyBorder="1" applyAlignment="1">
      <alignment horizontal="center" vertical="center" wrapText="1"/>
    </xf>
    <xf numFmtId="0" fontId="47" fillId="51" borderId="13" xfId="0" applyFont="1" applyFill="1" applyBorder="1" applyAlignment="1">
      <alignment horizontal="center" vertical="center" wrapText="1"/>
    </xf>
    <xf numFmtId="0" fontId="47" fillId="53" borderId="9" xfId="0" applyFont="1" applyFill="1" applyBorder="1" applyAlignment="1">
      <alignment horizontal="center" vertical="center" wrapText="1"/>
    </xf>
    <xf numFmtId="0" fontId="47" fillId="53" borderId="12" xfId="0" applyFont="1" applyFill="1" applyBorder="1" applyAlignment="1">
      <alignment horizontal="center" vertical="center" wrapText="1"/>
    </xf>
    <xf numFmtId="0" fontId="47" fillId="53" borderId="13" xfId="0" applyFont="1" applyFill="1" applyBorder="1" applyAlignment="1">
      <alignment horizontal="center" vertical="center" wrapText="1"/>
    </xf>
    <xf numFmtId="0" fontId="47" fillId="56" borderId="9" xfId="0" applyFont="1" applyFill="1" applyBorder="1" applyAlignment="1">
      <alignment horizontal="center" vertical="center" wrapText="1"/>
    </xf>
    <xf numFmtId="0" fontId="47" fillId="56" borderId="12" xfId="0" applyFont="1" applyFill="1" applyBorder="1" applyAlignment="1">
      <alignment horizontal="center" vertical="center" wrapText="1"/>
    </xf>
    <xf numFmtId="0" fontId="47" fillId="56" borderId="13" xfId="0" applyFont="1" applyFill="1" applyBorder="1" applyAlignment="1">
      <alignment horizontal="center" vertical="center" wrapText="1"/>
    </xf>
    <xf numFmtId="0" fontId="47" fillId="31" borderId="9" xfId="0" applyFont="1" applyFill="1" applyBorder="1" applyAlignment="1">
      <alignment horizontal="center" vertical="center" wrapText="1"/>
    </xf>
    <xf numFmtId="0" fontId="47" fillId="31" borderId="12" xfId="0" applyFont="1" applyFill="1" applyBorder="1" applyAlignment="1">
      <alignment horizontal="center" vertical="center" wrapText="1"/>
    </xf>
    <xf numFmtId="0" fontId="47" fillId="31" borderId="13" xfId="0" applyFont="1" applyFill="1" applyBorder="1" applyAlignment="1">
      <alignment horizontal="center" vertical="center" wrapText="1"/>
    </xf>
    <xf numFmtId="0" fontId="47" fillId="59" borderId="9" xfId="0" applyFont="1" applyFill="1" applyBorder="1" applyAlignment="1">
      <alignment horizontal="center" vertical="center" wrapText="1"/>
    </xf>
    <xf numFmtId="0" fontId="47" fillId="59" borderId="12" xfId="0" applyFont="1" applyFill="1" applyBorder="1" applyAlignment="1">
      <alignment horizontal="center" vertical="center" wrapText="1"/>
    </xf>
    <xf numFmtId="0" fontId="47" fillId="59" borderId="13" xfId="0" applyFont="1" applyFill="1" applyBorder="1" applyAlignment="1">
      <alignment horizontal="center" vertical="center" wrapText="1"/>
    </xf>
    <xf numFmtId="0" fontId="5" fillId="11" borderId="9" xfId="0" applyFont="1" applyFill="1" applyBorder="1" applyAlignment="1">
      <alignment horizontal="center" vertical="center" wrapText="1"/>
    </xf>
    <xf numFmtId="0" fontId="5" fillId="11" borderId="49" xfId="0" applyFont="1" applyFill="1" applyBorder="1" applyAlignment="1">
      <alignment horizontal="center" vertical="center" wrapText="1"/>
    </xf>
    <xf numFmtId="0" fontId="5" fillId="11" borderId="57" xfId="0" applyFont="1" applyFill="1" applyBorder="1" applyAlignment="1">
      <alignment horizontal="center" vertical="center" wrapText="1"/>
    </xf>
    <xf numFmtId="0" fontId="5" fillId="48" borderId="9" xfId="0" applyFont="1" applyFill="1" applyBorder="1" applyAlignment="1">
      <alignment horizontal="center" vertical="center" wrapText="1"/>
    </xf>
    <xf numFmtId="0" fontId="5" fillId="48" borderId="12" xfId="0" applyFont="1" applyFill="1" applyBorder="1" applyAlignment="1">
      <alignment horizontal="center" vertical="center" wrapText="1"/>
    </xf>
    <xf numFmtId="0" fontId="5" fillId="48" borderId="57" xfId="0" applyFont="1" applyFill="1" applyBorder="1" applyAlignment="1">
      <alignment horizontal="center" vertical="center" wrapText="1"/>
    </xf>
    <xf numFmtId="0" fontId="5" fillId="55" borderId="9" xfId="0" applyFont="1" applyFill="1" applyBorder="1" applyAlignment="1">
      <alignment horizontal="center" vertical="center" wrapText="1"/>
    </xf>
    <xf numFmtId="0" fontId="5" fillId="55" borderId="12" xfId="0" applyFont="1" applyFill="1" applyBorder="1" applyAlignment="1">
      <alignment horizontal="center" vertical="center" wrapText="1"/>
    </xf>
    <xf numFmtId="0" fontId="5" fillId="55" borderId="13" xfId="0" applyFont="1" applyFill="1" applyBorder="1" applyAlignment="1">
      <alignment horizontal="center" vertical="center" wrapText="1"/>
    </xf>
    <xf numFmtId="0" fontId="43" fillId="35" borderId="0" xfId="0" applyFont="1" applyFill="1" applyAlignment="1">
      <alignment horizontal="center" vertical="center"/>
    </xf>
    <xf numFmtId="0" fontId="47" fillId="0" borderId="4" xfId="0" applyFont="1" applyBorder="1" applyAlignment="1">
      <alignment horizontal="center" vertical="center" wrapText="1"/>
    </xf>
    <xf numFmtId="0" fontId="49" fillId="0" borderId="4" xfId="0" applyFont="1" applyBorder="1" applyAlignment="1">
      <alignment horizontal="center" vertical="center" wrapText="1"/>
    </xf>
    <xf numFmtId="0" fontId="47" fillId="0" borderId="14" xfId="0" applyFont="1" applyBorder="1" applyAlignment="1">
      <alignment horizontal="center" vertical="center" wrapText="1"/>
    </xf>
    <xf numFmtId="0" fontId="47" fillId="0" borderId="10" xfId="0" applyFont="1" applyBorder="1" applyAlignment="1">
      <alignment horizontal="center" vertical="center" wrapText="1"/>
    </xf>
    <xf numFmtId="0" fontId="42" fillId="35" borderId="0" xfId="0" applyFont="1" applyFill="1" applyAlignment="1">
      <alignment horizontal="center" vertical="center"/>
    </xf>
    <xf numFmtId="0" fontId="2" fillId="31" borderId="1" xfId="0" applyFont="1" applyFill="1" applyBorder="1" applyAlignment="1">
      <alignment horizontal="left" vertical="center" wrapText="1" indent="1"/>
    </xf>
    <xf numFmtId="0" fontId="2" fillId="31" borderId="56" xfId="0" applyFont="1" applyFill="1" applyBorder="1" applyAlignment="1">
      <alignment horizontal="left" vertical="center" wrapText="1" indent="1"/>
    </xf>
    <xf numFmtId="0" fontId="2" fillId="31" borderId="45" xfId="0" applyFont="1" applyFill="1" applyBorder="1" applyAlignment="1">
      <alignment horizontal="left" vertical="center" wrapText="1" indent="1"/>
    </xf>
    <xf numFmtId="0" fontId="8" fillId="2" borderId="54" xfId="0" applyFont="1" applyFill="1" applyBorder="1" applyAlignment="1">
      <alignment horizontal="center" vertical="center" wrapText="1"/>
    </xf>
    <xf numFmtId="0" fontId="8" fillId="2" borderId="55" xfId="0" applyFont="1" applyFill="1" applyBorder="1" applyAlignment="1">
      <alignment horizontal="center" vertical="center" wrapText="1"/>
    </xf>
    <xf numFmtId="0" fontId="0" fillId="13" borderId="24" xfId="0" applyFill="1" applyBorder="1"/>
    <xf numFmtId="0" fontId="0" fillId="13" borderId="23" xfId="0" applyFill="1" applyBorder="1"/>
    <xf numFmtId="0" fontId="0" fillId="13" borderId="18" xfId="0" applyFill="1" applyBorder="1"/>
    <xf numFmtId="0" fontId="0" fillId="13" borderId="17" xfId="0" applyFill="1" applyBorder="1"/>
    <xf numFmtId="0" fontId="0" fillId="13" borderId="28" xfId="0" applyFill="1" applyBorder="1"/>
    <xf numFmtId="0" fontId="0" fillId="13" borderId="27" xfId="0" applyFill="1" applyBorder="1"/>
    <xf numFmtId="0" fontId="0" fillId="14" borderId="21" xfId="0" applyFill="1" applyBorder="1"/>
    <xf numFmtId="0" fontId="0" fillId="14" borderId="22" xfId="0" applyFill="1" applyBorder="1"/>
    <xf numFmtId="0" fontId="0" fillId="14" borderId="23" xfId="0" applyFill="1" applyBorder="1"/>
    <xf numFmtId="0" fontId="0" fillId="14" borderId="19" xfId="0" applyFill="1" applyBorder="1"/>
    <xf numFmtId="0" fontId="0" fillId="14" borderId="5" xfId="0" applyFill="1" applyBorder="1"/>
    <xf numFmtId="0" fontId="0" fillId="14" borderId="17" xfId="0" applyFill="1" applyBorder="1"/>
    <xf numFmtId="0" fontId="0" fillId="14" borderId="25" xfId="0" applyFill="1" applyBorder="1"/>
    <xf numFmtId="0" fontId="0" fillId="14" borderId="26" xfId="0" applyFill="1" applyBorder="1"/>
    <xf numFmtId="0" fontId="0" fillId="14" borderId="27" xfId="0" applyFill="1" applyBorder="1"/>
    <xf numFmtId="0" fontId="0" fillId="15" borderId="21" xfId="0" applyFill="1" applyBorder="1"/>
    <xf numFmtId="0" fontId="0" fillId="15" borderId="22" xfId="0" applyFill="1" applyBorder="1"/>
    <xf numFmtId="0" fontId="0" fillId="15" borderId="23" xfId="0" applyFill="1" applyBorder="1"/>
    <xf numFmtId="0" fontId="0" fillId="15" borderId="19" xfId="0" applyFill="1" applyBorder="1"/>
    <xf numFmtId="0" fontId="0" fillId="15" borderId="5" xfId="0" applyFill="1" applyBorder="1"/>
    <xf numFmtId="0" fontId="0" fillId="15" borderId="17" xfId="0" applyFill="1" applyBorder="1"/>
    <xf numFmtId="0" fontId="0" fillId="15" borderId="25" xfId="0" applyFill="1" applyBorder="1"/>
    <xf numFmtId="0" fontId="0" fillId="15" borderId="26" xfId="0" applyFill="1" applyBorder="1"/>
    <xf numFmtId="0" fontId="0" fillId="15" borderId="27" xfId="0" applyFill="1" applyBorder="1"/>
    <xf numFmtId="0" fontId="33" fillId="31" borderId="20" xfId="0" applyFont="1" applyFill="1" applyBorder="1" applyAlignment="1">
      <alignment horizontal="center" vertical="center"/>
    </xf>
    <xf numFmtId="0" fontId="34" fillId="31" borderId="20" xfId="0" applyFont="1" applyFill="1" applyBorder="1" applyAlignment="1">
      <alignment horizontal="center" vertical="center" wrapText="1"/>
    </xf>
    <xf numFmtId="0" fontId="32" fillId="0" borderId="20" xfId="0" applyFont="1" applyBorder="1" applyAlignment="1">
      <alignment horizontal="center" vertical="center"/>
    </xf>
    <xf numFmtId="0" fontId="32" fillId="0" borderId="41" xfId="0" applyFont="1" applyBorder="1" applyAlignment="1">
      <alignment horizontal="center" vertical="center"/>
    </xf>
    <xf numFmtId="0" fontId="0" fillId="16" borderId="24" xfId="0" applyFill="1" applyBorder="1"/>
    <xf numFmtId="0" fontId="0" fillId="16" borderId="23" xfId="0" applyFill="1" applyBorder="1"/>
    <xf numFmtId="0" fontId="0" fillId="16" borderId="18" xfId="0" applyFill="1" applyBorder="1"/>
    <xf numFmtId="0" fontId="0" fillId="16" borderId="17" xfId="0" applyFill="1" applyBorder="1"/>
    <xf numFmtId="0" fontId="0" fillId="16" borderId="28" xfId="0" applyFill="1" applyBorder="1"/>
    <xf numFmtId="0" fontId="0" fillId="16" borderId="27" xfId="0" applyFill="1" applyBorder="1"/>
    <xf numFmtId="0" fontId="33" fillId="0" borderId="4" xfId="0" applyFont="1" applyBorder="1" applyAlignment="1">
      <alignment horizontal="center" vertical="center"/>
    </xf>
    <xf numFmtId="0" fontId="23" fillId="28" borderId="20" xfId="0" applyFont="1" applyFill="1" applyBorder="1" applyAlignment="1">
      <alignment horizontal="center" vertical="center" wrapText="1"/>
    </xf>
    <xf numFmtId="0" fontId="23" fillId="28" borderId="41" xfId="0" applyFont="1" applyFill="1" applyBorder="1" applyAlignment="1">
      <alignment horizontal="center" vertical="center" wrapText="1"/>
    </xf>
    <xf numFmtId="0" fontId="40" fillId="35" borderId="0" xfId="0" applyFont="1" applyFill="1" applyAlignment="1">
      <alignment horizontal="center" vertical="center"/>
    </xf>
    <xf numFmtId="0" fontId="25" fillId="34" borderId="0" xfId="0" applyFont="1" applyFill="1" applyAlignment="1">
      <alignment horizontal="center" vertical="center"/>
    </xf>
    <xf numFmtId="0" fontId="23" fillId="28" borderId="4" xfId="0" applyFont="1" applyFill="1" applyBorder="1" applyAlignment="1">
      <alignment horizontal="center" vertical="center" wrapText="1"/>
    </xf>
    <xf numFmtId="0" fontId="35" fillId="31" borderId="0" xfId="0" applyFont="1" applyFill="1" applyAlignment="1">
      <alignment horizontal="left" vertical="top" wrapText="1" indent="2"/>
    </xf>
    <xf numFmtId="0" fontId="35" fillId="31" borderId="0" xfId="0" applyFont="1" applyFill="1" applyAlignment="1">
      <alignment horizontal="left" vertical="center" wrapText="1" indent="2"/>
    </xf>
    <xf numFmtId="0" fontId="35" fillId="31" borderId="0" xfId="0" applyFont="1" applyFill="1" applyAlignment="1">
      <alignment horizontal="left" vertical="center" indent="2"/>
    </xf>
    <xf numFmtId="0" fontId="23" fillId="29" borderId="0" xfId="0" applyFont="1" applyFill="1" applyAlignment="1">
      <alignment horizontal="center" vertical="center"/>
    </xf>
    <xf numFmtId="0" fontId="52" fillId="0" borderId="4"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14" xfId="0" applyFont="1" applyBorder="1" applyAlignment="1">
      <alignment horizontal="center" vertical="center" wrapText="1"/>
    </xf>
    <xf numFmtId="0" fontId="52" fillId="0" borderId="15" xfId="0" applyFont="1" applyBorder="1" applyAlignment="1">
      <alignment horizontal="center" vertical="center" wrapText="1"/>
    </xf>
    <xf numFmtId="0" fontId="4" fillId="11" borderId="10"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52" xfId="0" applyFont="1" applyFill="1" applyBorder="1" applyAlignment="1">
      <alignment horizontal="center" vertical="center" wrapText="1"/>
    </xf>
    <xf numFmtId="0" fontId="4" fillId="49" borderId="10" xfId="0" applyFont="1" applyFill="1" applyBorder="1" applyAlignment="1">
      <alignment horizontal="center" vertical="center" wrapText="1"/>
    </xf>
    <xf numFmtId="0" fontId="4" fillId="49" borderId="4" xfId="0" applyFont="1" applyFill="1" applyBorder="1" applyAlignment="1">
      <alignment horizontal="center" vertical="center" wrapText="1"/>
    </xf>
    <xf numFmtId="0" fontId="47" fillId="50" borderId="46" xfId="0" applyFont="1" applyFill="1" applyBorder="1" applyAlignment="1">
      <alignment horizontal="center" vertical="center" wrapText="1"/>
    </xf>
    <xf numFmtId="0" fontId="4" fillId="49" borderId="52" xfId="0" applyFont="1" applyFill="1" applyBorder="1" applyAlignment="1">
      <alignment horizontal="center" vertical="center" wrapText="1"/>
    </xf>
    <xf numFmtId="0" fontId="47" fillId="33" borderId="10" xfId="0" applyFont="1" applyFill="1" applyBorder="1" applyAlignment="1">
      <alignment horizontal="center" vertical="center" wrapText="1"/>
    </xf>
    <xf numFmtId="0" fontId="47" fillId="33" borderId="4" xfId="0" applyFont="1" applyFill="1" applyBorder="1" applyAlignment="1">
      <alignment horizontal="center" vertical="center" wrapText="1"/>
    </xf>
    <xf numFmtId="0" fontId="47" fillId="33" borderId="14" xfId="0" applyFont="1" applyFill="1" applyBorder="1" applyAlignment="1">
      <alignment horizontal="center" vertical="center" wrapText="1"/>
    </xf>
    <xf numFmtId="0" fontId="47" fillId="51" borderId="10" xfId="0" applyFont="1" applyFill="1" applyBorder="1" applyAlignment="1">
      <alignment horizontal="center" vertical="center" wrapText="1"/>
    </xf>
    <xf numFmtId="0" fontId="47" fillId="51" borderId="4" xfId="0" applyFont="1" applyFill="1" applyBorder="1" applyAlignment="1">
      <alignment horizontal="center" vertical="center" wrapText="1"/>
    </xf>
    <xf numFmtId="0" fontId="47" fillId="51" borderId="14" xfId="0" applyFont="1" applyFill="1" applyBorder="1" applyAlignment="1">
      <alignment horizontal="center" vertical="center" wrapText="1"/>
    </xf>
    <xf numFmtId="0" fontId="47" fillId="53" borderId="10" xfId="0" applyFont="1" applyFill="1" applyBorder="1" applyAlignment="1">
      <alignment horizontal="center" vertical="center" wrapText="1"/>
    </xf>
    <xf numFmtId="0" fontId="47" fillId="53" borderId="4" xfId="0" applyFont="1" applyFill="1" applyBorder="1" applyAlignment="1">
      <alignment horizontal="center" vertical="center" wrapText="1"/>
    </xf>
    <xf numFmtId="0" fontId="47" fillId="53" borderId="14" xfId="0" applyFont="1" applyFill="1" applyBorder="1" applyAlignment="1">
      <alignment horizontal="center" vertical="center" wrapText="1"/>
    </xf>
    <xf numFmtId="0" fontId="47" fillId="56" borderId="10" xfId="0" applyFont="1" applyFill="1" applyBorder="1" applyAlignment="1">
      <alignment horizontal="center" vertical="center" wrapText="1"/>
    </xf>
    <xf numFmtId="0" fontId="47" fillId="56" borderId="4" xfId="0" applyFont="1" applyFill="1" applyBorder="1" applyAlignment="1">
      <alignment horizontal="center" vertical="center" wrapText="1"/>
    </xf>
    <xf numFmtId="0" fontId="47" fillId="56" borderId="14" xfId="0" applyFont="1" applyFill="1" applyBorder="1" applyAlignment="1">
      <alignment horizontal="center" vertical="center" wrapText="1"/>
    </xf>
    <xf numFmtId="0" fontId="47" fillId="31" borderId="10" xfId="0" applyFont="1" applyFill="1" applyBorder="1" applyAlignment="1">
      <alignment horizontal="center" vertical="center" wrapText="1"/>
    </xf>
    <xf numFmtId="0" fontId="47" fillId="31" borderId="4" xfId="0" applyFont="1" applyFill="1" applyBorder="1" applyAlignment="1">
      <alignment horizontal="center" vertical="center" wrapText="1"/>
    </xf>
    <xf numFmtId="0" fontId="47" fillId="31" borderId="14" xfId="0" applyFont="1" applyFill="1" applyBorder="1" applyAlignment="1">
      <alignment horizontal="center" vertical="center" wrapText="1"/>
    </xf>
    <xf numFmtId="0" fontId="47" fillId="59" borderId="10" xfId="0" applyFont="1" applyFill="1" applyBorder="1" applyAlignment="1">
      <alignment horizontal="center" vertical="center" wrapText="1"/>
    </xf>
    <xf numFmtId="0" fontId="47" fillId="59" borderId="4" xfId="0" applyFont="1" applyFill="1" applyBorder="1" applyAlignment="1">
      <alignment horizontal="center" vertical="center" wrapText="1"/>
    </xf>
    <xf numFmtId="0" fontId="47" fillId="59" borderId="14" xfId="0" applyFont="1" applyFill="1" applyBorder="1" applyAlignment="1">
      <alignment horizontal="center" vertical="center" wrapText="1"/>
    </xf>
    <xf numFmtId="0" fontId="47" fillId="61" borderId="10" xfId="0" applyFont="1" applyFill="1" applyBorder="1" applyAlignment="1">
      <alignment horizontal="center" vertical="center" wrapText="1"/>
    </xf>
    <xf numFmtId="0" fontId="47" fillId="61" borderId="4" xfId="0" applyFont="1" applyFill="1" applyBorder="1" applyAlignment="1">
      <alignment horizontal="center" vertical="center" wrapText="1"/>
    </xf>
    <xf numFmtId="0" fontId="47" fillId="61" borderId="14" xfId="0" applyFont="1" applyFill="1" applyBorder="1" applyAlignment="1">
      <alignment horizontal="center" vertical="center" wrapText="1"/>
    </xf>
    <xf numFmtId="0" fontId="47" fillId="63" borderId="10" xfId="0" applyFont="1" applyFill="1" applyBorder="1" applyAlignment="1">
      <alignment horizontal="center" vertical="center" wrapText="1"/>
    </xf>
    <xf numFmtId="0" fontId="47" fillId="63" borderId="4" xfId="0" applyFont="1" applyFill="1" applyBorder="1" applyAlignment="1">
      <alignment horizontal="center" vertical="center" wrapText="1"/>
    </xf>
    <xf numFmtId="0" fontId="47" fillId="63" borderId="14" xfId="0" applyFont="1" applyFill="1" applyBorder="1" applyAlignment="1">
      <alignment horizontal="center" vertical="center" wrapText="1"/>
    </xf>
    <xf numFmtId="0" fontId="47" fillId="50" borderId="10" xfId="0" applyFont="1" applyFill="1" applyBorder="1" applyAlignment="1">
      <alignment horizontal="center" vertical="center" wrapText="1"/>
    </xf>
    <xf numFmtId="0" fontId="47" fillId="50" borderId="4" xfId="0" applyFont="1" applyFill="1" applyBorder="1" applyAlignment="1">
      <alignment horizontal="center" vertical="center" wrapText="1"/>
    </xf>
    <xf numFmtId="0" fontId="47" fillId="50" borderId="14" xfId="0" applyFont="1" applyFill="1" applyBorder="1" applyAlignment="1">
      <alignment horizontal="center" vertical="center" wrapText="1"/>
    </xf>
    <xf numFmtId="0" fontId="49" fillId="29" borderId="50" xfId="0" applyFont="1" applyFill="1" applyBorder="1" applyAlignment="1">
      <alignment horizontal="center" vertical="center" wrapText="1"/>
    </xf>
    <xf numFmtId="0" fontId="24" fillId="29" borderId="4" xfId="0" applyFont="1" applyFill="1" applyBorder="1" applyAlignment="1">
      <alignment horizontal="center" vertical="center" wrapText="1"/>
    </xf>
    <xf numFmtId="0" fontId="24" fillId="29" borderId="14" xfId="0" applyFont="1" applyFill="1" applyBorder="1" applyAlignment="1">
      <alignment horizontal="center" vertical="center" wrapText="1"/>
    </xf>
    <xf numFmtId="0" fontId="2" fillId="23" borderId="0" xfId="0" applyFont="1" applyFill="1" applyAlignment="1">
      <alignment horizontal="center" vertical="center"/>
    </xf>
    <xf numFmtId="0" fontId="12" fillId="3" borderId="0" xfId="0" applyFont="1" applyFill="1" applyAlignment="1">
      <alignment horizontal="center" vertical="center" wrapText="1"/>
    </xf>
    <xf numFmtId="0" fontId="53" fillId="67" borderId="0" xfId="0" applyFont="1" applyFill="1" applyAlignment="1">
      <alignment horizontal="center" vertical="center" wrapText="1"/>
    </xf>
    <xf numFmtId="0" fontId="6" fillId="0" borderId="0" xfId="0" applyFont="1" applyAlignment="1">
      <alignment horizontal="center"/>
    </xf>
    <xf numFmtId="0" fontId="54" fillId="68" borderId="4" xfId="0" applyFont="1" applyFill="1" applyBorder="1"/>
    <xf numFmtId="0" fontId="55" fillId="0" borderId="0" xfId="0" applyFont="1"/>
    <xf numFmtId="0" fontId="55" fillId="0" borderId="4" xfId="0" applyFont="1" applyBorder="1"/>
    <xf numFmtId="9" fontId="56" fillId="0" borderId="4" xfId="0" applyNumberFormat="1" applyFont="1" applyBorder="1"/>
    <xf numFmtId="0" fontId="55" fillId="13" borderId="4" xfId="0" applyFont="1" applyFill="1" applyBorder="1"/>
    <xf numFmtId="0" fontId="55" fillId="66" borderId="4" xfId="0" applyFont="1" applyFill="1" applyBorder="1"/>
    <xf numFmtId="0" fontId="55" fillId="14" borderId="4" xfId="0" applyFont="1" applyFill="1" applyBorder="1"/>
    <xf numFmtId="0" fontId="55" fillId="16" borderId="4" xfId="0" applyFont="1" applyFill="1" applyBorder="1"/>
    <xf numFmtId="0" fontId="55" fillId="15" borderId="4" xfId="0" applyFont="1" applyFill="1" applyBorder="1"/>
    <xf numFmtId="0" fontId="57" fillId="0" borderId="0" xfId="0" applyFont="1"/>
    <xf numFmtId="9" fontId="55" fillId="0" borderId="4" xfId="0" applyNumberFormat="1" applyFont="1" applyBorder="1"/>
    <xf numFmtId="0" fontId="58" fillId="0" borderId="0" xfId="0" applyFont="1"/>
  </cellXfs>
  <cellStyles count="2">
    <cellStyle name="Hipervínculo" xfId="1" builtinId="8"/>
    <cellStyle name="Normal" xfId="0" builtinId="0"/>
  </cellStyles>
  <dxfs count="52">
    <dxf>
      <font>
        <b/>
        <i val="0"/>
        <color theme="0"/>
      </font>
      <fill>
        <patternFill>
          <bgColor rgb="FFFF0000"/>
        </patternFill>
      </fill>
    </dxf>
    <dxf>
      <font>
        <b/>
        <i val="0"/>
        <color theme="1"/>
      </font>
      <fill>
        <patternFill>
          <bgColor rgb="FFFFFF00"/>
        </patternFill>
      </fill>
    </dxf>
    <dxf>
      <font>
        <b/>
        <i val="0"/>
        <color theme="1"/>
      </font>
      <fill>
        <patternFill>
          <bgColor rgb="FF00B050"/>
        </patternFill>
      </fill>
    </dxf>
    <dxf>
      <font>
        <b/>
        <i val="0"/>
        <color theme="1"/>
      </font>
      <fill>
        <patternFill>
          <bgColor theme="6" tint="0.39994506668294322"/>
        </patternFill>
      </fill>
    </dxf>
    <dxf>
      <font>
        <b/>
        <i val="0"/>
        <color rgb="FFFFFFFF"/>
      </font>
      <fill>
        <patternFill patternType="solid">
          <fgColor indexed="64"/>
          <bgColor rgb="FFFF0000"/>
        </patternFill>
      </fill>
    </dxf>
    <dxf>
      <font>
        <b/>
        <i val="0"/>
        <color rgb="FF000000"/>
      </font>
      <fill>
        <patternFill patternType="solid">
          <fgColor indexed="64"/>
          <bgColor rgb="FFFFFF00"/>
        </patternFill>
      </fill>
    </dxf>
    <dxf>
      <font>
        <b/>
        <i val="0"/>
        <color theme="1"/>
      </font>
      <fill>
        <patternFill patternType="solid">
          <fgColor indexed="64"/>
          <bgColor theme="6" tint="0.39994506668294322"/>
        </patternFill>
      </fill>
    </dxf>
    <dxf>
      <font>
        <b/>
        <i val="0"/>
        <color rgb="FFFFFFFF"/>
      </font>
      <fill>
        <patternFill patternType="solid">
          <fgColor indexed="64"/>
          <bgColor rgb="FF00B050"/>
        </patternFill>
      </fill>
    </dxf>
    <dxf>
      <font>
        <b/>
        <i val="0"/>
        <color rgb="FFFFFFFF"/>
      </font>
      <fill>
        <patternFill patternType="solid">
          <fgColor indexed="64"/>
          <bgColor rgb="FFFF0000"/>
        </patternFill>
      </fill>
    </dxf>
    <dxf>
      <font>
        <b/>
        <i val="0"/>
        <color rgb="FF000000"/>
      </font>
      <fill>
        <patternFill patternType="solid">
          <fgColor indexed="64"/>
          <bgColor rgb="FFFFFF00"/>
        </patternFill>
      </fill>
    </dxf>
    <dxf>
      <font>
        <b/>
        <i val="0"/>
        <color theme="1"/>
      </font>
      <fill>
        <patternFill patternType="solid">
          <fgColor indexed="64"/>
          <bgColor theme="6" tint="0.39994506668294322"/>
        </patternFill>
      </fill>
    </dxf>
    <dxf>
      <font>
        <b/>
        <i val="0"/>
        <color rgb="FFFFFFFF"/>
      </font>
      <fill>
        <patternFill patternType="solid">
          <fgColor indexed="64"/>
          <bgColor rgb="FF00B050"/>
        </patternFill>
      </fill>
    </dxf>
    <dxf>
      <fill>
        <patternFill>
          <bgColor rgb="FFFFC000"/>
        </patternFill>
      </fill>
    </dxf>
    <dxf>
      <fill>
        <patternFill>
          <bgColor theme="6" tint="0.39994506668294322"/>
        </patternFill>
      </fill>
    </dxf>
    <dxf>
      <fill>
        <patternFill>
          <bgColor rgb="FFFF0000"/>
        </patternFill>
      </fill>
    </dxf>
    <dxf>
      <fill>
        <patternFill>
          <bgColor rgb="FF00B050"/>
        </patternFill>
      </fill>
    </dxf>
    <dxf>
      <font>
        <b/>
        <i val="0"/>
        <color theme="0"/>
      </font>
      <fill>
        <patternFill>
          <bgColor theme="1" tint="0.499984740745262"/>
        </patternFill>
      </fill>
    </dxf>
    <dxf>
      <font>
        <b/>
        <i val="0"/>
        <color theme="0"/>
      </font>
      <fill>
        <patternFill>
          <bgColor rgb="FFFF0000"/>
        </patternFill>
      </fill>
    </dxf>
    <dxf>
      <font>
        <b/>
        <i val="0"/>
        <color theme="1"/>
      </font>
      <fill>
        <patternFill>
          <bgColor rgb="FFFFFF00"/>
        </patternFill>
      </fill>
    </dxf>
    <dxf>
      <font>
        <b/>
        <i val="0"/>
        <color theme="1"/>
      </font>
      <fill>
        <patternFill>
          <bgColor rgb="FFFFC000"/>
        </patternFill>
      </fill>
    </dxf>
    <dxf>
      <font>
        <b/>
        <i val="0"/>
        <color theme="1"/>
      </font>
      <fill>
        <patternFill>
          <bgColor rgb="FF92D050"/>
        </patternFill>
      </fill>
    </dxf>
    <dxf>
      <font>
        <b/>
        <i val="0"/>
        <color theme="1"/>
      </font>
      <fill>
        <patternFill>
          <bgColor rgb="FF00B050"/>
        </patternFill>
      </fill>
    </dxf>
    <dxf>
      <font>
        <b/>
        <i val="0"/>
        <color rgb="FF9C0006"/>
      </font>
      <fill>
        <patternFill patternType="solid">
          <fgColor indexed="64"/>
          <bgColor rgb="FFF4CCCC"/>
        </patternFill>
      </fill>
    </dxf>
    <dxf>
      <font>
        <b/>
        <i val="0"/>
        <color rgb="FF006100"/>
      </font>
      <fill>
        <patternFill patternType="solid">
          <fgColor indexed="64"/>
          <bgColor rgb="FFC6E0B4"/>
        </patternFill>
      </fill>
    </dxf>
    <dxf>
      <font>
        <b/>
        <i val="0"/>
        <color theme="0"/>
      </font>
      <fill>
        <patternFill patternType="solid">
          <fgColor indexed="64"/>
          <bgColor theme="1" tint="0.499984740745262"/>
        </patternFill>
      </fill>
    </dxf>
    <dxf>
      <font>
        <color rgb="FFFFFFFF"/>
      </font>
      <fill>
        <patternFill patternType="solid">
          <fgColor indexed="64"/>
          <bgColor rgb="FFE26B0A"/>
        </patternFill>
      </fill>
    </dxf>
    <dxf>
      <font>
        <b/>
        <i val="0"/>
        <color theme="1"/>
      </font>
      <fill>
        <patternFill>
          <bgColor rgb="FF92D050"/>
        </patternFill>
      </fill>
    </dxf>
    <dxf>
      <font>
        <b/>
        <i val="0"/>
        <color theme="0"/>
      </font>
      <fill>
        <patternFill>
          <bgColor theme="9" tint="-0.24994659260841701"/>
        </patternFill>
      </fill>
    </dxf>
    <dxf>
      <font>
        <b/>
        <i val="0"/>
        <color theme="0"/>
      </font>
      <fill>
        <patternFill>
          <bgColor theme="0" tint="-0.34998626667073579"/>
        </patternFill>
      </fill>
    </dxf>
    <dxf>
      <font>
        <b/>
        <sz val="14"/>
        <color rgb="FFFFFFFF"/>
      </font>
      <fill>
        <patternFill>
          <bgColor rgb="FF00B050"/>
        </patternFill>
      </fill>
    </dxf>
    <dxf>
      <font>
        <b/>
        <sz val="14"/>
        <color rgb="FFFFFFFF"/>
      </font>
      <fill>
        <patternFill>
          <bgColor rgb="FF92D050"/>
        </patternFill>
      </fill>
    </dxf>
    <dxf>
      <font>
        <sz val="14"/>
        <color theme="1"/>
      </font>
      <fill>
        <patternFill>
          <bgColor rgb="FFFFFF00"/>
        </patternFill>
      </fill>
    </dxf>
    <dxf>
      <font>
        <b/>
        <sz val="14"/>
        <color rgb="FFFFFFFF"/>
      </font>
      <fill>
        <patternFill>
          <bgColor rgb="FFFFC000"/>
        </patternFill>
      </fill>
    </dxf>
    <dxf>
      <font>
        <b/>
        <sz val="14"/>
        <color rgb="FFFFFFFF"/>
      </font>
      <fill>
        <patternFill>
          <bgColor rgb="FFFF0000"/>
        </patternFill>
      </fill>
    </dxf>
    <dxf>
      <font>
        <b/>
        <sz val="16"/>
      </font>
      <fill>
        <patternFill>
          <bgColor rgb="FF00B050"/>
        </patternFill>
      </fill>
    </dxf>
    <dxf>
      <font>
        <b/>
        <sz val="16"/>
      </font>
      <fill>
        <patternFill>
          <bgColor rgb="FF92D050"/>
        </patternFill>
      </fill>
    </dxf>
    <dxf>
      <font>
        <sz val="16"/>
        <color theme="1"/>
      </font>
      <fill>
        <patternFill>
          <bgColor rgb="FFFFFF00"/>
        </patternFill>
      </fill>
    </dxf>
    <dxf>
      <font>
        <b/>
        <sz val="16"/>
      </font>
      <fill>
        <patternFill>
          <bgColor rgb="FFFFC000"/>
        </patternFill>
      </fill>
    </dxf>
    <dxf>
      <font>
        <b/>
        <sz val="16"/>
      </font>
      <fill>
        <patternFill>
          <bgColor rgb="FFFF0000"/>
        </patternFill>
      </fill>
    </dxf>
    <dxf>
      <font>
        <b/>
        <color rgb="FFFFFFFF"/>
      </font>
      <fill>
        <patternFill>
          <bgColor rgb="FF929292"/>
        </patternFill>
      </fill>
    </dxf>
    <dxf>
      <font>
        <b/>
        <i val="0"/>
        <color rgb="FFFFFFFF"/>
      </font>
      <fill>
        <patternFill patternType="solid">
          <fgColor indexed="64"/>
          <bgColor rgb="FF929292"/>
        </patternFill>
      </fill>
    </dxf>
    <dxf>
      <font>
        <b/>
        <i val="0"/>
        <color rgb="FF000000"/>
      </font>
      <fill>
        <patternFill patternType="solid">
          <fgColor indexed="64"/>
          <bgColor rgb="FF00B050"/>
        </patternFill>
      </fill>
    </dxf>
    <dxf>
      <font>
        <b/>
        <i val="0"/>
        <color rgb="FF000000"/>
      </font>
      <fill>
        <patternFill patternType="solid">
          <fgColor indexed="64"/>
          <bgColor rgb="FF92D050"/>
        </patternFill>
      </fill>
    </dxf>
    <dxf>
      <font>
        <b/>
        <i val="0"/>
        <color rgb="FF000000"/>
      </font>
      <fill>
        <patternFill patternType="solid">
          <fgColor indexed="64"/>
          <bgColor rgb="FFFFFF00"/>
        </patternFill>
      </fill>
    </dxf>
    <dxf>
      <font>
        <b/>
        <i val="0"/>
        <color rgb="FF000000"/>
      </font>
      <fill>
        <patternFill patternType="solid">
          <fgColor indexed="64"/>
          <bgColor rgb="FFFFC000"/>
        </patternFill>
      </fill>
    </dxf>
    <dxf>
      <font>
        <b/>
        <i val="0"/>
        <color theme="0"/>
      </font>
      <fill>
        <patternFill patternType="solid">
          <fgColor indexed="64"/>
          <bgColor theme="9" tint="-0.24994659260841701"/>
        </patternFill>
      </fill>
    </dxf>
    <dxf>
      <font>
        <b/>
      </font>
      <fill>
        <patternFill>
          <bgColor rgb="FF00B050"/>
        </patternFill>
      </fill>
    </dxf>
    <dxf>
      <font>
        <b/>
      </font>
      <fill>
        <patternFill>
          <bgColor rgb="FF92D050"/>
        </patternFill>
      </fill>
    </dxf>
    <dxf>
      <font>
        <color theme="1"/>
      </font>
      <fill>
        <patternFill>
          <bgColor rgb="FFFFFF00"/>
        </patternFill>
      </fill>
    </dxf>
    <dxf>
      <font>
        <b/>
      </font>
      <fill>
        <patternFill>
          <bgColor rgb="FFFFC000"/>
        </patternFill>
      </fill>
    </dxf>
    <dxf>
      <font>
        <b/>
      </font>
      <fill>
        <patternFill>
          <bgColor rgb="FFFF0000"/>
        </patternFill>
      </fill>
    </dxf>
    <dxf>
      <font>
        <b/>
        <color rgb="FFFFFFFF"/>
      </font>
      <fill>
        <patternFill>
          <bgColor rgb="FF92929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878787"/>
      <rgbColor rgb="FFB56866"/>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0CCB3"/>
      <rgbColor rgb="FF3366FF"/>
      <rgbColor rgb="FF33CCCC"/>
      <rgbColor rgb="FF92D050"/>
      <rgbColor rgb="FFFFC000"/>
      <rgbColor rgb="FFFFB24F"/>
      <rgbColor rgb="FFFF6600"/>
      <rgbColor rgb="FF4A7EBB"/>
      <rgbColor rgb="FF929292"/>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26B0A"/>
      <color rgb="FFB56866"/>
      <color rgb="FFC6D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L" b="1"/>
              <a:t>Porcentaje</a:t>
            </a:r>
            <a:r>
              <a:rPr lang="es-CL" b="1" baseline="0"/>
              <a:t> Obtenido por Dimensión</a:t>
            </a:r>
            <a:endParaRPr lang="es-CL"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bar"/>
        <c:grouping val="clustered"/>
        <c:varyColors val="0"/>
        <c:ser>
          <c:idx val="4"/>
          <c:order val="4"/>
          <c:tx>
            <c:strRef>
              <c:f>'INICIO - DASHBOARD'!$V$35</c:f>
              <c:strCache>
                <c:ptCount val="1"/>
                <c:pt idx="0">
                  <c:v>Predictivo</c:v>
                </c:pt>
              </c:strCache>
            </c:strRef>
          </c:tx>
          <c:spPr>
            <a:solidFill>
              <a:srgbClr val="00B050"/>
            </a:solidFill>
            <a:ln w="25400">
              <a:noFill/>
            </a:ln>
            <a:effectLst/>
          </c:spPr>
          <c:invertIfNegative val="0"/>
          <c:dLbls>
            <c:dLbl>
              <c:idx val="0"/>
              <c:tx>
                <c:strRef>
                  <c:f>'INICIO - DASHBOARD'!$Z$36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{D2F1FF9F-B829-4DE0-BA20-347E407BA354}</c15:txfldGUID>
                      <c15:f>'INICIO - DASHBOARD'!$Z$36</c15:f>
                      <c15:dlblFieldTableCache>
                        <c:ptCount val="1"/>
                        <c:pt idx="0">
                          <c:v>EVA</c:v>
                        </c:pt>
                      </c15:dlblFieldTableCache>
                    </c15:dlblFTEntry>
                  </c15:dlblFieldTable>
                  <c15:showDataLabelsRange val="0"/>
                </c:ext>
                <c:ext xmlns:c16="http://schemas.microsoft.com/office/drawing/2014/chart" uri="{C3380CC4-5D6E-409C-BE32-E72D297353CC}">
                  <c16:uniqueId val="{00000040-54F4-4C1A-8959-1BFF6C95ED45}"/>
                </c:ext>
              </c:extLst>
            </c:dLbl>
            <c:dLbl>
              <c:idx val="1"/>
              <c:tx>
                <c:strRef>
                  <c:f>'INICIO - DASHBOARD'!$Z$37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{C78C5B90-D215-4AC4-8EA3-E3EE46AB25E0}</c15:txfldGUID>
                      <c15:f>'INICIO - DASHBOARD'!$Z$37</c15:f>
                      <c15:dlblFieldTableCache>
                        <c:ptCount val="1"/>
                        <c:pt idx="0">
                          <c:v>EVA</c:v>
                        </c:pt>
                      </c15:dlblFieldTableCache>
                    </c15:dlblFTEntry>
                  </c15:dlblFieldTable>
                  <c15:showDataLabelsRange val="0"/>
                </c:ext>
                <c:ext xmlns:c16="http://schemas.microsoft.com/office/drawing/2014/chart" uri="{C3380CC4-5D6E-409C-BE32-E72D297353CC}">
                  <c16:uniqueId val="{00000041-54F4-4C1A-8959-1BFF6C95ED45}"/>
                </c:ext>
              </c:extLst>
            </c:dLbl>
            <c:dLbl>
              <c:idx val="2"/>
              <c:tx>
                <c:strRef>
                  <c:f>'INICIO - DASHBOARD'!$Z$38</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{C9E2463A-AE49-4C33-833E-FE0ED9F648D4}</c15:txfldGUID>
                      <c15:f>'INICIO - DASHBOARD'!$Z$38</c15:f>
                      <c15:dlblFieldTableCache>
                        <c:ptCount val="1"/>
                        <c:pt idx="0">
                          <c:v>EVA</c:v>
                        </c:pt>
                      </c15:dlblFieldTableCache>
                    </c15:dlblFTEntry>
                  </c15:dlblFieldTable>
                  <c15:showDataLabelsRange val="0"/>
                </c:ext>
                <c:ext xmlns:c16="http://schemas.microsoft.com/office/drawing/2014/chart" uri="{C3380CC4-5D6E-409C-BE32-E72D297353CC}">
                  <c16:uniqueId val="{00000042-54F4-4C1A-8959-1BFF6C95ED45}"/>
                </c:ext>
              </c:extLst>
            </c:dLbl>
            <c:dLbl>
              <c:idx val="3"/>
              <c:tx>
                <c:strRef>
                  <c:f>'INICIO - DASHBOARD'!$Z$39</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{EF67C59F-E49C-4A29-A314-49C20C4BD5B9}</c15:txfldGUID>
                      <c15:f>'INICIO - DASHBOARD'!$Z$39</c15:f>
                      <c15:dlblFieldTableCache>
                        <c:ptCount val="1"/>
                        <c:pt idx="0">
                          <c:v>EVA</c:v>
                        </c:pt>
                      </c15:dlblFieldTableCache>
                    </c15:dlblFTEntry>
                  </c15:dlblFieldTable>
                  <c15:showDataLabelsRange val="0"/>
                </c:ext>
                <c:ext xmlns:c16="http://schemas.microsoft.com/office/drawing/2014/chart" uri="{C3380CC4-5D6E-409C-BE32-E72D297353CC}">
                  <c16:uniqueId val="{00000043-54F4-4C1A-8959-1BFF6C95ED45}"/>
                </c:ext>
              </c:extLst>
            </c:dLbl>
            <c:dLbl>
              <c:idx val="4"/>
              <c:tx>
                <c:strRef>
                  <c:f>'INICIO - DASHBOARD'!$Z$40</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{FE87E3DE-8B50-4D71-AFAA-02D750A03AD0}</c15:txfldGUID>
                      <c15:f>'INICIO - DASHBOARD'!$Z$40</c15:f>
                      <c15:dlblFieldTableCache>
                        <c:ptCount val="1"/>
                        <c:pt idx="0">
                          <c:v>EVA</c:v>
                        </c:pt>
                      </c15:dlblFieldTableCache>
                    </c15:dlblFTEntry>
                  </c15:dlblFieldTable>
                  <c15:showDataLabelsRange val="0"/>
                </c:ext>
                <c:ext xmlns:c16="http://schemas.microsoft.com/office/drawing/2014/chart" uri="{C3380CC4-5D6E-409C-BE32-E72D297353CC}">
                  <c16:uniqueId val="{00000044-54F4-4C1A-8959-1BFF6C95ED45}"/>
                </c:ext>
              </c:extLst>
            </c:dLbl>
            <c:dLbl>
              <c:idx val="5"/>
              <c:tx>
                <c:strRef>
                  <c:f>'INICIO - DASHBOARD'!$Z$41</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{9D8C1806-AC9B-442A-88A8-6D9B3043BEB9}</c15:txfldGUID>
                      <c15:f>'INICIO - DASHBOARD'!$Z$41</c15:f>
                      <c15:dlblFieldTableCache>
                        <c:ptCount val="1"/>
                        <c:pt idx="0">
                          <c:v>EVA</c:v>
                        </c:pt>
                      </c15:dlblFieldTableCache>
                    </c15:dlblFTEntry>
                  </c15:dlblFieldTable>
                  <c15:showDataLabelsRange val="0"/>
                </c:ext>
                <c:ext xmlns:c16="http://schemas.microsoft.com/office/drawing/2014/chart" uri="{C3380CC4-5D6E-409C-BE32-E72D297353CC}">
                  <c16:uniqueId val="{00000045-54F4-4C1A-8959-1BFF6C95ED45}"/>
                </c:ext>
              </c:extLst>
            </c:dLbl>
            <c:dLbl>
              <c:idx val="6"/>
              <c:tx>
                <c:strRef>
                  <c:f>'INICIO - DASHBOARD'!$Z$42</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{0BDAAACD-045A-4004-94A4-5264470FCEA8}</c15:txfldGUID>
                      <c15:f>'INICIO - DASHBOARD'!$Z$42</c15:f>
                      <c15:dlblFieldTableCache>
                        <c:ptCount val="1"/>
                        <c:pt idx="0">
                          <c:v>EVA</c:v>
                        </c:pt>
                      </c15:dlblFieldTableCache>
                    </c15:dlblFTEntry>
                  </c15:dlblFieldTable>
                  <c15:showDataLabelsRange val="0"/>
                </c:ext>
                <c:ext xmlns:c16="http://schemas.microsoft.com/office/drawing/2014/chart" uri="{C3380CC4-5D6E-409C-BE32-E72D297353CC}">
                  <c16:uniqueId val="{00000046-54F4-4C1A-8959-1BFF6C95ED45}"/>
                </c:ext>
              </c:extLst>
            </c:dLbl>
            <c:dLbl>
              <c:idx val="7"/>
              <c:tx>
                <c:strRef>
                  <c:f>'INICIO - DASHBOARD'!$Z$43</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{02FAEF48-A048-4B1F-845D-C5043C7AEF90}</c15:txfldGUID>
                      <c15:f>'INICIO - DASHBOARD'!$Z$43</c15:f>
                      <c15:dlblFieldTableCache>
                        <c:ptCount val="1"/>
                        <c:pt idx="0">
                          <c:v>EVA</c:v>
                        </c:pt>
                      </c15:dlblFieldTableCache>
                    </c15:dlblFTEntry>
                  </c15:dlblFieldTable>
                  <c15:showDataLabelsRange val="0"/>
                </c:ext>
                <c:ext xmlns:c16="http://schemas.microsoft.com/office/drawing/2014/chart" uri="{C3380CC4-5D6E-409C-BE32-E72D297353CC}">
                  <c16:uniqueId val="{00000047-54F4-4C1A-8959-1BFF6C95ED45}"/>
                </c:ext>
              </c:extLst>
            </c:dLbl>
            <c:dLbl>
              <c:idx val="8"/>
              <c:tx>
                <c:strRef>
                  <c:f>'INICIO - DASHBOARD'!$Z$44</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{9F770CB3-1381-4AEC-BBEF-77E68BF9F623}</c15:txfldGUID>
                      <c15:f>'INICIO - DASHBOARD'!$Z$44</c15:f>
                      <c15:dlblFieldTableCache>
                        <c:ptCount val="1"/>
                        <c:pt idx="0">
                          <c:v>EVA</c:v>
                        </c:pt>
                      </c15:dlblFieldTableCache>
                    </c15:dlblFTEntry>
                  </c15:dlblFieldTable>
                  <c15:showDataLabelsRange val="0"/>
                </c:ext>
                <c:ext xmlns:c16="http://schemas.microsoft.com/office/drawing/2014/chart" uri="{C3380CC4-5D6E-409C-BE32-E72D297353CC}">
                  <c16:uniqueId val="{00000048-54F4-4C1A-8959-1BFF6C95ED45}"/>
                </c:ext>
              </c:extLst>
            </c:dLbl>
            <c:dLbl>
              <c:idx val="9"/>
              <c:tx>
                <c:strRef>
                  <c:f>'INICIO - DASHBOARD'!$Z$45</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{CDD91BF1-ADED-44C1-A4F1-7B243E0D8A75}</c15:txfldGUID>
                      <c15:f>'INICIO - DASHBOARD'!$Z$45</c15:f>
                      <c15:dlblFieldTableCache>
                        <c:ptCount val="1"/>
                        <c:pt idx="0">
                          <c:v>EVA</c:v>
                        </c:pt>
                      </c15:dlblFieldTableCache>
                    </c15:dlblFTEntry>
                  </c15:dlblFieldTable>
                  <c15:showDataLabelsRange val="0"/>
                </c:ext>
                <c:ext xmlns:c16="http://schemas.microsoft.com/office/drawing/2014/chart" uri="{C3380CC4-5D6E-409C-BE32-E72D297353CC}">
                  <c16:uniqueId val="{00000049-54F4-4C1A-8959-1BFF6C95ED45}"/>
                </c:ext>
              </c:extLst>
            </c:dLbl>
            <c:dLbl>
              <c:idx val="10"/>
              <c:tx>
                <c:strRef>
                  <c:f>'INICIO - DASHBOARD'!$Z$46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{E72124E9-005D-4AE7-953C-B1726BA01831}</c15:txfldGUID>
                      <c15:f>'INICIO - DASHBOARD'!$Z$46</c15:f>
                      <c15:dlblFieldTableCache>
                        <c:ptCount val="1"/>
                        <c:pt idx="0">
                          <c:v>EVA</c:v>
                        </c:pt>
                      </c15:dlblFieldTableCache>
                    </c15:dlblFTEntry>
                  </c15:dlblFieldTable>
                  <c15:showDataLabelsRange val="0"/>
                </c:ext>
                <c:ext xmlns:c16="http://schemas.microsoft.com/office/drawing/2014/chart" uri="{C3380CC4-5D6E-409C-BE32-E72D297353CC}">
                  <c16:uniqueId val="{0000004A-54F4-4C1A-8959-1BFF6C95ED45}"/>
                </c:ext>
              </c:extLst>
            </c:dLbl>
            <c:dLbl>
              <c:idx val="11"/>
              <c:tx>
                <c:strRef>
                  <c:f>'INICIO - DASHBOARD'!$Z$47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{9E35F97D-43A7-474C-8032-15257EE66F23}</c15:txfldGUID>
                      <c15:f>'INICIO - DASHBOARD'!$Z$47</c15:f>
                      <c15:dlblFieldTableCache>
                        <c:ptCount val="1"/>
                        <c:pt idx="0">
                          <c:v>EVA</c:v>
                        </c:pt>
                      </c15:dlblFieldTableCache>
                    </c15:dlblFTEntry>
                  </c15:dlblFieldTable>
                  <c15:showDataLabelsRange val="0"/>
                </c:ext>
                <c:ext xmlns:c16="http://schemas.microsoft.com/office/drawing/2014/chart" uri="{C3380CC4-5D6E-409C-BE32-E72D297353CC}">
                  <c16:uniqueId val="{0000004B-54F4-4C1A-8959-1BFF6C95E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'INICIO - DASHBOARD'!$Q$36:$Q$47</c:f>
              <c:strCache>
                <c:ptCount val="12"/>
                <c:pt idx="0">
                  <c:v>D1. Gobernanza, organización y liderazgo</c:v>
                </c:pt>
                <c:pt idx="1">
                  <c:v>D.2 Gestión del riesgo de fatiga</c:v>
                </c:pt>
                <c:pt idx="2">
                  <c:v>D.3 Diseño de turnos y jornadas</c:v>
                </c:pt>
                <c:pt idx="3">
                  <c:v>D.4 Gestión operacional de la fatiga</c:v>
                </c:pt>
                <c:pt idx="4">
                  <c:v>D.5 Gestión de la somnolencia</c:v>
                </c:pt>
                <c:pt idx="5">
                  <c:v>D.6 Salud ocupacional y trastornos del sueño</c:v>
                </c:pt>
                <c:pt idx="6">
                  <c:v>D.7 Controles críticos</c:v>
                </c:pt>
                <c:pt idx="7">
                  <c:v>D.8 Tecnología y sistemas de monitoreo</c:v>
                </c:pt>
                <c:pt idx="8">
                  <c:v>D.9 Factores humanos y organizacionales</c:v>
                </c:pt>
                <c:pt idx="9">
                  <c:v>D.10 Cultura de seguridad observable</c:v>
                </c:pt>
                <c:pt idx="10">
                  <c:v>D.11 Factores preventivos</c:v>
                </c:pt>
                <c:pt idx="11">
                  <c:v>D.12 Factores correctivos</c:v>
                </c:pt>
              </c:strCache>
            </c:strRef>
          </c:cat>
          <c:val>
            <c:numRef>
              <c:f>'INICIO - DASHBOARD'!$V$36:$V$47</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54F4-4C1A-8959-1BFF6C95ED45}"/>
            </c:ext>
          </c:extLst>
        </c:ser>
        <c:ser>
          <c:idx val="3"/>
          <c:order val="3"/>
          <c:tx>
            <c:strRef>
              <c:f>'INICIO - DASHBOARD'!$U$35</c:f>
              <c:strCache>
                <c:ptCount val="1"/>
                <c:pt idx="0">
                  <c:v>Interdependiente</c:v>
                </c:pt>
              </c:strCache>
            </c:strRef>
          </c:tx>
          <c:spPr>
            <a:solidFill>
              <a:srgbClr val="92D050"/>
            </a:solidFill>
            <a:ln w="25400">
              <a:noFill/>
            </a:ln>
            <a:effectLst/>
          </c:spPr>
          <c:invertIfNegative val="0"/>
          <c:dLbls>
            <c:dLbl>
              <c:idx val="0"/>
              <c:tx>
                <c:strRef>
                  <c:f>'INICIO - DASHBOARD'!$Z$36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{FFF5AF31-84C4-4470-BCEE-613C5D849DD6}</c15:txfldGUID>
                      <c15:f>'INICIO - DASHBOARD'!$Z$36</c15:f>
                      <c15:dlblFieldTableCache>
                        <c:ptCount val="1"/>
                        <c:pt idx="0">
                          <c:v>EVA</c:v>
                        </c:pt>
                      </c15:dlblFieldTableCache>
                    </c15:dlblFTEntry>
                  </c15:dlblFieldTable>
                  <c15:showDataLabelsRange val="0"/>
                </c:ext>
                <c:ext xmlns:c16="http://schemas.microsoft.com/office/drawing/2014/chart" uri="{C3380CC4-5D6E-409C-BE32-E72D297353CC}">
                  <c16:uniqueId val="{00000034-54F4-4C1A-8959-1BFF6C95ED45}"/>
                </c:ext>
              </c:extLst>
            </c:dLbl>
            <c:dLbl>
              <c:idx val="1"/>
              <c:tx>
                <c:strRef>
                  <c:f>'INICIO - DASHBOARD'!$Z$37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{07500EEA-BAB3-4E6E-B7E8-06FF61026387}</c15:txfldGUID>
                      <c15:f>'INICIO - DASHBOARD'!$Z$37</c15:f>
                      <c15:dlblFieldTableCache>
                        <c:ptCount val="1"/>
                        <c:pt idx="0">
                          <c:v>EVA</c:v>
                        </c:pt>
                      </c15:dlblFieldTableCache>
                    </c15:dlblFTEntry>
                  </c15:dlblFieldTable>
                  <c15:showDataLabelsRange val="0"/>
                </c:ext>
                <c:ext xmlns:c16="http://schemas.microsoft.com/office/drawing/2014/chart" uri="{C3380CC4-5D6E-409C-BE32-E72D297353CC}">
                  <c16:uniqueId val="{00000035-54F4-4C1A-8959-1BFF6C95ED45}"/>
                </c:ext>
              </c:extLst>
            </c:dLbl>
            <c:dLbl>
              <c:idx val="2"/>
              <c:tx>
                <c:strRef>
                  <c:f>'INICIO - DASHBOARD'!$Z$38</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{B8202C44-F6AD-4DA9-8181-6FEEC8E1E474}</c15:txfldGUID>
                      <c15:f>'INICIO - DASHBOARD'!$Z$38</c15:f>
                      <c15:dlblFieldTableCache>
                        <c:ptCount val="1"/>
                        <c:pt idx="0">
                          <c:v>EVA</c:v>
                        </c:pt>
                      </c15:dlblFieldTableCache>
                    </c15:dlblFTEntry>
                  </c15:dlblFieldTable>
                  <c15:showDataLabelsRange val="0"/>
                </c:ext>
                <c:ext xmlns:c16="http://schemas.microsoft.com/office/drawing/2014/chart" uri="{C3380CC4-5D6E-409C-BE32-E72D297353CC}">
                  <c16:uniqueId val="{00000036-54F4-4C1A-8959-1BFF6C95ED45}"/>
                </c:ext>
              </c:extLst>
            </c:dLbl>
            <c:dLbl>
              <c:idx val="3"/>
              <c:tx>
                <c:strRef>
                  <c:f>'INICIO - DASHBOARD'!$Z$39</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{60A24660-C267-4800-AE48-511D8E576FF8}</c15:txfldGUID>
                      <c15:f>'INICIO - DASHBOARD'!$Z$39</c15:f>
                      <c15:dlblFieldTableCache>
                        <c:ptCount val="1"/>
                        <c:pt idx="0">
                          <c:v>EVA</c:v>
                        </c:pt>
                      </c15:dlblFieldTableCache>
                    </c15:dlblFTEntry>
                  </c15:dlblFieldTable>
                  <c15:showDataLabelsRange val="0"/>
                </c:ext>
                <c:ext xmlns:c16="http://schemas.microsoft.com/office/drawing/2014/chart" uri="{C3380CC4-5D6E-409C-BE32-E72D297353CC}">
                  <c16:uniqueId val="{00000037-54F4-4C1A-8959-1BFF6C95ED45}"/>
                </c:ext>
              </c:extLst>
            </c:dLbl>
            <c:dLbl>
              <c:idx val="4"/>
              <c:tx>
                <c:strRef>
                  <c:f>'INICIO - DASHBOARD'!$Z$40</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{5CD4371B-D4BE-4A07-BE12-5C4C7C125061}</c15:txfldGUID>
                      <c15:f>'INICIO - DASHBOARD'!$Z$40</c15:f>
                      <c15:dlblFieldTableCache>
                        <c:ptCount val="1"/>
                        <c:pt idx="0">
                          <c:v>EVA</c:v>
                        </c:pt>
                      </c15:dlblFieldTableCache>
                    </c15:dlblFTEntry>
                  </c15:dlblFieldTable>
                  <c15:showDataLabelsRange val="0"/>
                </c:ext>
                <c:ext xmlns:c16="http://schemas.microsoft.com/office/drawing/2014/chart" uri="{C3380CC4-5D6E-409C-BE32-E72D297353CC}">
                  <c16:uniqueId val="{00000038-54F4-4C1A-8959-1BFF6C95ED45}"/>
                </c:ext>
              </c:extLst>
            </c:dLbl>
            <c:dLbl>
              <c:idx val="5"/>
              <c:tx>
                <c:strRef>
                  <c:f>'INICIO - DASHBOARD'!$Z$41</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{163EBF9A-4F5B-4115-A2C4-DB1DE987AB3F}</c15:txfldGUID>
                      <c15:f>'INICIO - DASHBOARD'!$Z$41</c15:f>
                      <c15:dlblFieldTableCache>
                        <c:ptCount val="1"/>
                        <c:pt idx="0">
                          <c:v>EVA</c:v>
                        </c:pt>
                      </c15:dlblFieldTableCache>
                    </c15:dlblFTEntry>
                  </c15:dlblFieldTable>
                  <c15:showDataLabelsRange val="0"/>
                </c:ext>
                <c:ext xmlns:c16="http://schemas.microsoft.com/office/drawing/2014/chart" uri="{C3380CC4-5D6E-409C-BE32-E72D297353CC}">
                  <c16:uniqueId val="{00000039-54F4-4C1A-8959-1BFF6C95ED45}"/>
                </c:ext>
              </c:extLst>
            </c:dLbl>
            <c:dLbl>
              <c:idx val="6"/>
              <c:tx>
                <c:strRef>
                  <c:f>'INICIO - DASHBOARD'!$Z$42</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{48C4FB1B-32BF-4E3E-9D41-E028EE78E0F9}</c15:txfldGUID>
                      <c15:f>'INICIO - DASHBOARD'!$Z$42</c15:f>
                      <c15:dlblFieldTableCache>
                        <c:ptCount val="1"/>
                        <c:pt idx="0">
                          <c:v>EVA</c:v>
                        </c:pt>
                      </c15:dlblFieldTableCache>
                    </c15:dlblFTEntry>
                  </c15:dlblFieldTable>
                  <c15:showDataLabelsRange val="0"/>
                </c:ext>
                <c:ext xmlns:c16="http://schemas.microsoft.com/office/drawing/2014/chart" uri="{C3380CC4-5D6E-409C-BE32-E72D297353CC}">
                  <c16:uniqueId val="{0000003A-54F4-4C1A-8959-1BFF6C95ED45}"/>
                </c:ext>
              </c:extLst>
            </c:dLbl>
            <c:dLbl>
              <c:idx val="7"/>
              <c:tx>
                <c:strRef>
                  <c:f>'INICIO - DASHBOARD'!$Z$43</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{9C2E48F3-1164-428E-89B5-158E388D7BFC}</c15:txfldGUID>
                      <c15:f>'INICIO - DASHBOARD'!$Z$43</c15:f>
                      <c15:dlblFieldTableCache>
                        <c:ptCount val="1"/>
                        <c:pt idx="0">
                          <c:v>EVA</c:v>
                        </c:pt>
                      </c15:dlblFieldTableCache>
                    </c15:dlblFTEntry>
                  </c15:dlblFieldTable>
                  <c15:showDataLabelsRange val="0"/>
                </c:ext>
                <c:ext xmlns:c16="http://schemas.microsoft.com/office/drawing/2014/chart" uri="{C3380CC4-5D6E-409C-BE32-E72D297353CC}">
                  <c16:uniqueId val="{0000003B-54F4-4C1A-8959-1BFF6C95ED45}"/>
                </c:ext>
              </c:extLst>
            </c:dLbl>
            <c:dLbl>
              <c:idx val="8"/>
              <c:tx>
                <c:strRef>
                  <c:f>'INICIO - DASHBOARD'!$Z$44</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{D2975C95-1FCA-4DF1-B248-83432592E6AB}</c15:txfldGUID>
                      <c15:f>'INICIO - DASHBOARD'!$Z$44</c15:f>
                      <c15:dlblFieldTableCache>
                        <c:ptCount val="1"/>
                        <c:pt idx="0">
                          <c:v>EVA</c:v>
                        </c:pt>
                      </c15:dlblFieldTableCache>
                    </c15:dlblFTEntry>
                  </c15:dlblFieldTable>
                  <c15:showDataLabelsRange val="0"/>
                </c:ext>
                <c:ext xmlns:c16="http://schemas.microsoft.com/office/drawing/2014/chart" uri="{C3380CC4-5D6E-409C-BE32-E72D297353CC}">
                  <c16:uniqueId val="{0000003C-54F4-4C1A-8959-1BFF6C95ED45}"/>
                </c:ext>
              </c:extLst>
            </c:dLbl>
            <c:dLbl>
              <c:idx val="9"/>
              <c:tx>
                <c:strRef>
                  <c:f>'INICIO - DASHBOARD'!$Z$45</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{8E1E8497-9425-458C-BB13-BB65E118C3C1}</c15:txfldGUID>
                      <c15:f>'INICIO - DASHBOARD'!$Z$45</c15:f>
                      <c15:dlblFieldTableCache>
                        <c:ptCount val="1"/>
                        <c:pt idx="0">
                          <c:v>EVA</c:v>
                        </c:pt>
                      </c15:dlblFieldTableCache>
                    </c15:dlblFTEntry>
                  </c15:dlblFieldTable>
                  <c15:showDataLabelsRange val="0"/>
                </c:ext>
                <c:ext xmlns:c16="http://schemas.microsoft.com/office/drawing/2014/chart" uri="{C3380CC4-5D6E-409C-BE32-E72D297353CC}">
                  <c16:uniqueId val="{0000003D-54F4-4C1A-8959-1BFF6C95ED45}"/>
                </c:ext>
              </c:extLst>
            </c:dLbl>
            <c:dLbl>
              <c:idx val="10"/>
              <c:tx>
                <c:strRef>
                  <c:f>'INICIO - DASHBOARD'!$Z$46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{F85F193D-CD87-4CDF-9D26-9BE464A533DC}</c15:txfldGUID>
                      <c15:f>'INICIO - DASHBOARD'!$Z$46</c15:f>
                      <c15:dlblFieldTableCache>
                        <c:ptCount val="1"/>
                        <c:pt idx="0">
                          <c:v>EVA</c:v>
                        </c:pt>
                      </c15:dlblFieldTableCache>
                    </c15:dlblFTEntry>
                  </c15:dlblFieldTable>
                  <c15:showDataLabelsRange val="0"/>
                </c:ext>
                <c:ext xmlns:c16="http://schemas.microsoft.com/office/drawing/2014/chart" uri="{C3380CC4-5D6E-409C-BE32-E72D297353CC}">
                  <c16:uniqueId val="{0000003E-54F4-4C1A-8959-1BFF6C95ED45}"/>
                </c:ext>
              </c:extLst>
            </c:dLbl>
            <c:dLbl>
              <c:idx val="11"/>
              <c:tx>
                <c:strRef>
                  <c:f>'INICIO - DASHBOARD'!$Z$47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{755BE80F-9888-4D22-B2FE-2183DFC76BDA}</c15:txfldGUID>
                      <c15:f>'INICIO - DASHBOARD'!$Z$47</c15:f>
                      <c15:dlblFieldTableCache>
                        <c:ptCount val="1"/>
                        <c:pt idx="0">
                          <c:v>EVA</c:v>
                        </c:pt>
                      </c15:dlblFieldTableCache>
                    </c15:dlblFTEntry>
                  </c15:dlblFieldTable>
                  <c15:showDataLabelsRange val="0"/>
                </c:ext>
                <c:ext xmlns:c16="http://schemas.microsoft.com/office/drawing/2014/chart" uri="{C3380CC4-5D6E-409C-BE32-E72D297353CC}">
                  <c16:uniqueId val="{0000003F-54F4-4C1A-8959-1BFF6C95E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'INICIO - DASHBOARD'!$Q$36:$Q$47</c:f>
              <c:strCache>
                <c:ptCount val="12"/>
                <c:pt idx="0">
                  <c:v>D1. Gobernanza, organización y liderazgo</c:v>
                </c:pt>
                <c:pt idx="1">
                  <c:v>D.2 Gestión del riesgo de fatiga</c:v>
                </c:pt>
                <c:pt idx="2">
                  <c:v>D.3 Diseño de turnos y jornadas</c:v>
                </c:pt>
                <c:pt idx="3">
                  <c:v>D.4 Gestión operacional de la fatiga</c:v>
                </c:pt>
                <c:pt idx="4">
                  <c:v>D.5 Gestión de la somnolencia</c:v>
                </c:pt>
                <c:pt idx="5">
                  <c:v>D.6 Salud ocupacional y trastornos del sueño</c:v>
                </c:pt>
                <c:pt idx="6">
                  <c:v>D.7 Controles críticos</c:v>
                </c:pt>
                <c:pt idx="7">
                  <c:v>D.8 Tecnología y sistemas de monitoreo</c:v>
                </c:pt>
                <c:pt idx="8">
                  <c:v>D.9 Factores humanos y organizacionales</c:v>
                </c:pt>
                <c:pt idx="9">
                  <c:v>D.10 Cultura de seguridad observable</c:v>
                </c:pt>
                <c:pt idx="10">
                  <c:v>D.11 Factores preventivos</c:v>
                </c:pt>
                <c:pt idx="11">
                  <c:v>D.12 Factores correctivos</c:v>
                </c:pt>
              </c:strCache>
            </c:strRef>
          </c:cat>
          <c:val>
            <c:numRef>
              <c:f>'INICIO - DASHBOARD'!$U$36:$U$47</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54F4-4C1A-8959-1BFF6C95ED45}"/>
            </c:ext>
          </c:extLst>
        </c:ser>
        <c:ser>
          <c:idx val="2"/>
          <c:order val="2"/>
          <c:tx>
            <c:strRef>
              <c:f>'INICIO - DASHBOARD'!$T$35</c:f>
              <c:strCache>
                <c:ptCount val="1"/>
                <c:pt idx="0">
                  <c:v>Independiente</c:v>
                </c:pt>
              </c:strCache>
            </c:strRef>
          </c:tx>
          <c:spPr>
            <a:solidFill>
              <a:srgbClr val="FFFF00"/>
            </a:solidFill>
            <a:ln w="25400">
              <a:noFill/>
            </a:ln>
            <a:effectLst/>
          </c:spPr>
          <c:invertIfNegative val="0"/>
          <c:dLbls>
            <c:dLbl>
              <c:idx val="0"/>
              <c:tx>
                <c:strRef>
                  <c:f>'INICIO - DASHBOARD'!$Z$36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{0AA7A113-1895-421F-AB9A-29C24F462D80}</c15:txfldGUID>
                      <c15:f>'INICIO - DASHBOARD'!$Z$36</c15:f>
                      <c15:dlblFieldTableCache>
                        <c:ptCount val="1"/>
                        <c:pt idx="0">
                          <c:v>EVA</c:v>
                        </c:pt>
                      </c15:dlblFieldTableCache>
                    </c15:dlblFTEntry>
                  </c15:dlblFieldTable>
                  <c15:showDataLabelsRange val="0"/>
                </c:ext>
                <c:ext xmlns:c16="http://schemas.microsoft.com/office/drawing/2014/chart" uri="{C3380CC4-5D6E-409C-BE32-E72D297353CC}">
                  <c16:uniqueId val="{00000028-54F4-4C1A-8959-1BFF6C95ED45}"/>
                </c:ext>
              </c:extLst>
            </c:dLbl>
            <c:dLbl>
              <c:idx val="1"/>
              <c:tx>
                <c:strRef>
                  <c:f>'INICIO - DASHBOARD'!$Z$37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{68F3D7F1-0577-48D9-8A7B-CF2D9D7E0708}</c15:txfldGUID>
                      <c15:f>'INICIO - DASHBOARD'!$Z$37</c15:f>
                      <c15:dlblFieldTableCache>
                        <c:ptCount val="1"/>
                        <c:pt idx="0">
                          <c:v>EVA</c:v>
                        </c:pt>
                      </c15:dlblFieldTableCache>
                    </c15:dlblFTEntry>
                  </c15:dlblFieldTable>
                  <c15:showDataLabelsRange val="0"/>
                </c:ext>
                <c:ext xmlns:c16="http://schemas.microsoft.com/office/drawing/2014/chart" uri="{C3380CC4-5D6E-409C-BE32-E72D297353CC}">
                  <c16:uniqueId val="{00000029-54F4-4C1A-8959-1BFF6C95ED45}"/>
                </c:ext>
              </c:extLst>
            </c:dLbl>
            <c:dLbl>
              <c:idx val="2"/>
              <c:tx>
                <c:strRef>
                  <c:f>'INICIO - DASHBOARD'!$Z$38</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{CDCD396D-C382-410E-85DB-6EA632302039}</c15:txfldGUID>
                      <c15:f>'INICIO - DASHBOARD'!$Z$38</c15:f>
                      <c15:dlblFieldTableCache>
                        <c:ptCount val="1"/>
                        <c:pt idx="0">
                          <c:v>EVA</c:v>
                        </c:pt>
                      </c15:dlblFieldTableCache>
                    </c15:dlblFTEntry>
                  </c15:dlblFieldTable>
                  <c15:showDataLabelsRange val="0"/>
                </c:ext>
                <c:ext xmlns:c16="http://schemas.microsoft.com/office/drawing/2014/chart" uri="{C3380CC4-5D6E-409C-BE32-E72D297353CC}">
                  <c16:uniqueId val="{0000002A-54F4-4C1A-8959-1BFF6C95ED45}"/>
                </c:ext>
              </c:extLst>
            </c:dLbl>
            <c:dLbl>
              <c:idx val="3"/>
              <c:tx>
                <c:strRef>
                  <c:f>'INICIO - DASHBOARD'!$Z$39</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{E55E8FA3-24D3-4A53-A260-A658DF67B99E}</c15:txfldGUID>
                      <c15:f>'INICIO - DASHBOARD'!$Z$39</c15:f>
                      <c15:dlblFieldTableCache>
                        <c:ptCount val="1"/>
                        <c:pt idx="0">
                          <c:v>EVA</c:v>
                        </c:pt>
                      </c15:dlblFieldTableCache>
                    </c15:dlblFTEntry>
                  </c15:dlblFieldTable>
                  <c15:showDataLabelsRange val="0"/>
                </c:ext>
                <c:ext xmlns:c16="http://schemas.microsoft.com/office/drawing/2014/chart" uri="{C3380CC4-5D6E-409C-BE32-E72D297353CC}">
                  <c16:uniqueId val="{0000002B-54F4-4C1A-8959-1BFF6C95ED45}"/>
                </c:ext>
              </c:extLst>
            </c:dLbl>
            <c:dLbl>
              <c:idx val="4"/>
              <c:tx>
                <c:strRef>
                  <c:f>'INICIO - DASHBOARD'!$Z$40</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{0917D67E-145E-4B55-9085-6FE43B5C6CB3}</c15:txfldGUID>
                      <c15:f>'INICIO - DASHBOARD'!$Z$40</c15:f>
                      <c15:dlblFieldTableCache>
                        <c:ptCount val="1"/>
                        <c:pt idx="0">
                          <c:v>EVA</c:v>
                        </c:pt>
                      </c15:dlblFieldTableCache>
                    </c15:dlblFTEntry>
                  </c15:dlblFieldTable>
                  <c15:showDataLabelsRange val="0"/>
                </c:ext>
                <c:ext xmlns:c16="http://schemas.microsoft.com/office/drawing/2014/chart" uri="{C3380CC4-5D6E-409C-BE32-E72D297353CC}">
                  <c16:uniqueId val="{0000002C-54F4-4C1A-8959-1BFF6C95ED45}"/>
                </c:ext>
              </c:extLst>
            </c:dLbl>
            <c:dLbl>
              <c:idx val="5"/>
              <c:tx>
                <c:strRef>
                  <c:f>'INICIO - DASHBOARD'!$Z$41</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{344B5C08-DE1D-4CC9-AF3A-B16B5E78004D}</c15:txfldGUID>
                      <c15:f>'INICIO - DASHBOARD'!$Z$41</c15:f>
                      <c15:dlblFieldTableCache>
                        <c:ptCount val="1"/>
                        <c:pt idx="0">
                          <c:v>EVA</c:v>
                        </c:pt>
                      </c15:dlblFieldTableCache>
                    </c15:dlblFTEntry>
                  </c15:dlblFieldTable>
                  <c15:showDataLabelsRange val="0"/>
                </c:ext>
                <c:ext xmlns:c16="http://schemas.microsoft.com/office/drawing/2014/chart" uri="{C3380CC4-5D6E-409C-BE32-E72D297353CC}">
                  <c16:uniqueId val="{0000002D-54F4-4C1A-8959-1BFF6C95ED45}"/>
                </c:ext>
              </c:extLst>
            </c:dLbl>
            <c:dLbl>
              <c:idx val="6"/>
              <c:tx>
                <c:strRef>
                  <c:f>'INICIO - DASHBOARD'!$Z$42</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{6F7320B7-E71E-439D-B941-C7581C02AF65}</c15:txfldGUID>
                      <c15:f>'INICIO - DASHBOARD'!$Z$42</c15:f>
                      <c15:dlblFieldTableCache>
                        <c:ptCount val="1"/>
                        <c:pt idx="0">
                          <c:v>EVA</c:v>
                        </c:pt>
                      </c15:dlblFieldTableCache>
                    </c15:dlblFTEntry>
                  </c15:dlblFieldTable>
                  <c15:showDataLabelsRange val="0"/>
                </c:ext>
                <c:ext xmlns:c16="http://schemas.microsoft.com/office/drawing/2014/chart" uri="{C3380CC4-5D6E-409C-BE32-E72D297353CC}">
                  <c16:uniqueId val="{0000002E-54F4-4C1A-8959-1BFF6C95ED45}"/>
                </c:ext>
              </c:extLst>
            </c:dLbl>
            <c:dLbl>
              <c:idx val="7"/>
              <c:tx>
                <c:strRef>
                  <c:f>'INICIO - DASHBOARD'!$Z$43</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{7CE224A4-4190-4E29-8E79-5244CF738BE4}</c15:txfldGUID>
                      <c15:f>'INICIO - DASHBOARD'!$Z$43</c15:f>
                      <c15:dlblFieldTableCache>
                        <c:ptCount val="1"/>
                        <c:pt idx="0">
                          <c:v>EVA</c:v>
                        </c:pt>
                      </c15:dlblFieldTableCache>
                    </c15:dlblFTEntry>
                  </c15:dlblFieldTable>
                  <c15:showDataLabelsRange val="0"/>
                </c:ext>
                <c:ext xmlns:c16="http://schemas.microsoft.com/office/drawing/2014/chart" uri="{C3380CC4-5D6E-409C-BE32-E72D297353CC}">
                  <c16:uniqueId val="{0000002F-54F4-4C1A-8959-1BFF6C95ED45}"/>
                </c:ext>
              </c:extLst>
            </c:dLbl>
            <c:dLbl>
              <c:idx val="8"/>
              <c:tx>
                <c:strRef>
                  <c:f>'INICIO - DASHBOARD'!$Z$44</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{3F7C6996-3F96-4F9E-823C-2215B53A47EA}</c15:txfldGUID>
                      <c15:f>'INICIO - DASHBOARD'!$Z$44</c15:f>
                      <c15:dlblFieldTableCache>
                        <c:ptCount val="1"/>
                        <c:pt idx="0">
                          <c:v>EVA</c:v>
                        </c:pt>
                      </c15:dlblFieldTableCache>
                    </c15:dlblFTEntry>
                  </c15:dlblFieldTable>
                  <c15:showDataLabelsRange val="0"/>
                </c:ext>
                <c:ext xmlns:c16="http://schemas.microsoft.com/office/drawing/2014/chart" uri="{C3380CC4-5D6E-409C-BE32-E72D297353CC}">
                  <c16:uniqueId val="{00000030-54F4-4C1A-8959-1BFF6C95ED45}"/>
                </c:ext>
              </c:extLst>
            </c:dLbl>
            <c:dLbl>
              <c:idx val="9"/>
              <c:tx>
                <c:strRef>
                  <c:f>'INICIO - DASHBOARD'!$Z$45</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{A405DCCA-96B9-4A91-AFD6-89688A2C1E7A}</c15:txfldGUID>
                      <c15:f>'INICIO - DASHBOARD'!$Z$45</c15:f>
                      <c15:dlblFieldTableCache>
                        <c:ptCount val="1"/>
                        <c:pt idx="0">
                          <c:v>EVA</c:v>
                        </c:pt>
                      </c15:dlblFieldTableCache>
                    </c15:dlblFTEntry>
                  </c15:dlblFieldTable>
                  <c15:showDataLabelsRange val="0"/>
                </c:ext>
                <c:ext xmlns:c16="http://schemas.microsoft.com/office/drawing/2014/chart" uri="{C3380CC4-5D6E-409C-BE32-E72D297353CC}">
                  <c16:uniqueId val="{00000031-54F4-4C1A-8959-1BFF6C95ED45}"/>
                </c:ext>
              </c:extLst>
            </c:dLbl>
            <c:dLbl>
              <c:idx val="10"/>
              <c:tx>
                <c:strRef>
                  <c:f>'INICIO - DASHBOARD'!$Z$46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{945CB344-5BFA-4DD0-B11A-9025D380ACBA}</c15:txfldGUID>
                      <c15:f>'INICIO - DASHBOARD'!$Z$46</c15:f>
                      <c15:dlblFieldTableCache>
                        <c:ptCount val="1"/>
                        <c:pt idx="0">
                          <c:v>EVA</c:v>
                        </c:pt>
                      </c15:dlblFieldTableCache>
                    </c15:dlblFTEntry>
                  </c15:dlblFieldTable>
                  <c15:showDataLabelsRange val="0"/>
                </c:ext>
                <c:ext xmlns:c16="http://schemas.microsoft.com/office/drawing/2014/chart" uri="{C3380CC4-5D6E-409C-BE32-E72D297353CC}">
                  <c16:uniqueId val="{00000032-54F4-4C1A-8959-1BFF6C95ED45}"/>
                </c:ext>
              </c:extLst>
            </c:dLbl>
            <c:dLbl>
              <c:idx val="11"/>
              <c:tx>
                <c:strRef>
                  <c:f>'INICIO - DASHBOARD'!$Z$47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{9AFD3F31-1339-4C09-B3E9-2B329A90F714}</c15:txfldGUID>
                      <c15:f>'INICIO - DASHBOARD'!$Z$47</c15:f>
                      <c15:dlblFieldTableCache>
                        <c:ptCount val="1"/>
                        <c:pt idx="0">
                          <c:v>EVA</c:v>
                        </c:pt>
                      </c15:dlblFieldTableCache>
                    </c15:dlblFTEntry>
                  </c15:dlblFieldTable>
                  <c15:showDataLabelsRange val="0"/>
                </c:ext>
                <c:ext xmlns:c16="http://schemas.microsoft.com/office/drawing/2014/chart" uri="{C3380CC4-5D6E-409C-BE32-E72D297353CC}">
                  <c16:uniqueId val="{00000033-54F4-4C1A-8959-1BFF6C95E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'INICIO - DASHBOARD'!$Q$36:$Q$47</c:f>
              <c:strCache>
                <c:ptCount val="12"/>
                <c:pt idx="0">
                  <c:v>D1. Gobernanza, organización y liderazgo</c:v>
                </c:pt>
                <c:pt idx="1">
                  <c:v>D.2 Gestión del riesgo de fatiga</c:v>
                </c:pt>
                <c:pt idx="2">
                  <c:v>D.3 Diseño de turnos y jornadas</c:v>
                </c:pt>
                <c:pt idx="3">
                  <c:v>D.4 Gestión operacional de la fatiga</c:v>
                </c:pt>
                <c:pt idx="4">
                  <c:v>D.5 Gestión de la somnolencia</c:v>
                </c:pt>
                <c:pt idx="5">
                  <c:v>D.6 Salud ocupacional y trastornos del sueño</c:v>
                </c:pt>
                <c:pt idx="6">
                  <c:v>D.7 Controles críticos</c:v>
                </c:pt>
                <c:pt idx="7">
                  <c:v>D.8 Tecnología y sistemas de monitoreo</c:v>
                </c:pt>
                <c:pt idx="8">
                  <c:v>D.9 Factores humanos y organizacionales</c:v>
                </c:pt>
                <c:pt idx="9">
                  <c:v>D.10 Cultura de seguridad observable</c:v>
                </c:pt>
                <c:pt idx="10">
                  <c:v>D.11 Factores preventivos</c:v>
                </c:pt>
                <c:pt idx="11">
                  <c:v>D.12 Factores correctivos</c:v>
                </c:pt>
              </c:strCache>
            </c:strRef>
          </c:cat>
          <c:val>
            <c:numRef>
              <c:f>'INICIO - DASHBOARD'!$T$36:$T$47</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54F4-4C1A-8959-1BFF6C95ED45}"/>
            </c:ext>
          </c:extLst>
        </c:ser>
        <c:ser>
          <c:idx val="1"/>
          <c:order val="1"/>
          <c:tx>
            <c:strRef>
              <c:f>'INICIO - DASHBOARD'!$S$35</c:f>
              <c:strCache>
                <c:ptCount val="1"/>
                <c:pt idx="0">
                  <c:v>Dependiente</c:v>
                </c:pt>
              </c:strCache>
            </c:strRef>
          </c:tx>
          <c:spPr>
            <a:solidFill>
              <a:srgbClr val="FFC000"/>
            </a:solidFill>
            <a:ln w="25400">
              <a:noFill/>
            </a:ln>
            <a:effectLst/>
          </c:spPr>
          <c:invertIfNegative val="0"/>
          <c:dLbls>
            <c:dLbl>
              <c:idx val="0"/>
              <c:tx>
                <c:strRef>
                  <c:f>'INICIO - DASHBOARD'!$Z$36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{0EADD9CB-6C47-4F77-A2CB-4165E0862154}</c15:txfldGUID>
                      <c15:f>'INICIO - DASHBOARD'!$Z$36</c15:f>
                      <c15:dlblFieldTableCache>
                        <c:ptCount val="1"/>
                        <c:pt idx="0">
                          <c:v>EVA</c:v>
                        </c:pt>
                      </c15:dlblFieldTableCache>
                    </c15:dlblFTEntry>
                  </c15:dlblFieldTable>
                  <c15:showDataLabelsRange val="0"/>
                </c:ext>
                <c:ext xmlns:c16="http://schemas.microsoft.com/office/drawing/2014/chart" uri="{C3380CC4-5D6E-409C-BE32-E72D297353CC}">
                  <c16:uniqueId val="{0000001C-54F4-4C1A-8959-1BFF6C95ED45}"/>
                </c:ext>
              </c:extLst>
            </c:dLbl>
            <c:dLbl>
              <c:idx val="1"/>
              <c:tx>
                <c:strRef>
                  <c:f>'INICIO - DASHBOARD'!$Z$37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{3EE0CDEC-DFC2-47DF-8AC1-65413E2A4654}</c15:txfldGUID>
                      <c15:f>'INICIO - DASHBOARD'!$Z$37</c15:f>
                      <c15:dlblFieldTableCache>
                        <c:ptCount val="1"/>
                        <c:pt idx="0">
                          <c:v>EVA</c:v>
                        </c:pt>
                      </c15:dlblFieldTableCache>
                    </c15:dlblFTEntry>
                  </c15:dlblFieldTable>
                  <c15:showDataLabelsRange val="0"/>
                </c:ext>
                <c:ext xmlns:c16="http://schemas.microsoft.com/office/drawing/2014/chart" uri="{C3380CC4-5D6E-409C-BE32-E72D297353CC}">
                  <c16:uniqueId val="{0000001D-54F4-4C1A-8959-1BFF6C95ED45}"/>
                </c:ext>
              </c:extLst>
            </c:dLbl>
            <c:dLbl>
              <c:idx val="2"/>
              <c:tx>
                <c:strRef>
                  <c:f>'INICIO - DASHBOARD'!$Z$38</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{CE50A79C-F89D-4D40-9C63-5ED7970F85DB}</c15:txfldGUID>
                      <c15:f>'INICIO - DASHBOARD'!$Z$38</c15:f>
                      <c15:dlblFieldTableCache>
                        <c:ptCount val="1"/>
                        <c:pt idx="0">
                          <c:v>EVA</c:v>
                        </c:pt>
                      </c15:dlblFieldTableCache>
                    </c15:dlblFTEntry>
                  </c15:dlblFieldTable>
                  <c15:showDataLabelsRange val="0"/>
                </c:ext>
                <c:ext xmlns:c16="http://schemas.microsoft.com/office/drawing/2014/chart" uri="{C3380CC4-5D6E-409C-BE32-E72D297353CC}">
                  <c16:uniqueId val="{0000001E-54F4-4C1A-8959-1BFF6C95ED45}"/>
                </c:ext>
              </c:extLst>
            </c:dLbl>
            <c:dLbl>
              <c:idx val="3"/>
              <c:tx>
                <c:strRef>
                  <c:f>'INICIO - DASHBOARD'!$Z$39</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{9AACEC4E-5E0E-46CB-A8FE-86E90DE8F6F5}</c15:txfldGUID>
                      <c15:f>'INICIO - DASHBOARD'!$Z$39</c15:f>
                      <c15:dlblFieldTableCache>
                        <c:ptCount val="1"/>
                        <c:pt idx="0">
                          <c:v>EVA</c:v>
                        </c:pt>
                      </c15:dlblFieldTableCache>
                    </c15:dlblFTEntry>
                  </c15:dlblFieldTable>
                  <c15:showDataLabelsRange val="0"/>
                </c:ext>
                <c:ext xmlns:c16="http://schemas.microsoft.com/office/drawing/2014/chart" uri="{C3380CC4-5D6E-409C-BE32-E72D297353CC}">
                  <c16:uniqueId val="{0000001F-54F4-4C1A-8959-1BFF6C95ED45}"/>
                </c:ext>
              </c:extLst>
            </c:dLbl>
            <c:dLbl>
              <c:idx val="4"/>
              <c:tx>
                <c:strRef>
                  <c:f>'INICIO - DASHBOARD'!$Z$40</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{842A8674-EC63-4867-958C-49582EB3319F}</c15:txfldGUID>
                      <c15:f>'INICIO - DASHBOARD'!$Z$40</c15:f>
                      <c15:dlblFieldTableCache>
                        <c:ptCount val="1"/>
                        <c:pt idx="0">
                          <c:v>EVA</c:v>
                        </c:pt>
                      </c15:dlblFieldTableCache>
                    </c15:dlblFTEntry>
                  </c15:dlblFieldTable>
                  <c15:showDataLabelsRange val="0"/>
                </c:ext>
                <c:ext xmlns:c16="http://schemas.microsoft.com/office/drawing/2014/chart" uri="{C3380CC4-5D6E-409C-BE32-E72D297353CC}">
                  <c16:uniqueId val="{00000020-54F4-4C1A-8959-1BFF6C95ED45}"/>
                </c:ext>
              </c:extLst>
            </c:dLbl>
            <c:dLbl>
              <c:idx val="5"/>
              <c:tx>
                <c:strRef>
                  <c:f>'INICIO - DASHBOARD'!$Z$41</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{BA8E30FA-25CE-4921-94CE-7E373E117F8D}</c15:txfldGUID>
                      <c15:f>'INICIO - DASHBOARD'!$Z$41</c15:f>
                      <c15:dlblFieldTableCache>
                        <c:ptCount val="1"/>
                        <c:pt idx="0">
                          <c:v>EVA</c:v>
                        </c:pt>
                      </c15:dlblFieldTableCache>
                    </c15:dlblFTEntry>
                  </c15:dlblFieldTable>
                  <c15:showDataLabelsRange val="0"/>
                </c:ext>
                <c:ext xmlns:c16="http://schemas.microsoft.com/office/drawing/2014/chart" uri="{C3380CC4-5D6E-409C-BE32-E72D297353CC}">
                  <c16:uniqueId val="{00000021-54F4-4C1A-8959-1BFF6C95ED45}"/>
                </c:ext>
              </c:extLst>
            </c:dLbl>
            <c:dLbl>
              <c:idx val="6"/>
              <c:tx>
                <c:strRef>
                  <c:f>'INICIO - DASHBOARD'!$Z$42</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{D00121F5-15B9-43D5-A43E-6258425F7A23}</c15:txfldGUID>
                      <c15:f>'INICIO - DASHBOARD'!$Z$42</c15:f>
                      <c15:dlblFieldTableCache>
                        <c:ptCount val="1"/>
                        <c:pt idx="0">
                          <c:v>EVA</c:v>
                        </c:pt>
                      </c15:dlblFieldTableCache>
                    </c15:dlblFTEntry>
                  </c15:dlblFieldTable>
                  <c15:showDataLabelsRange val="0"/>
                </c:ext>
                <c:ext xmlns:c16="http://schemas.microsoft.com/office/drawing/2014/chart" uri="{C3380CC4-5D6E-409C-BE32-E72D297353CC}">
                  <c16:uniqueId val="{00000022-54F4-4C1A-8959-1BFF6C95ED45}"/>
                </c:ext>
              </c:extLst>
            </c:dLbl>
            <c:dLbl>
              <c:idx val="7"/>
              <c:tx>
                <c:strRef>
                  <c:f>'INICIO - DASHBOARD'!$Z$43</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{1D578501-2D35-4778-86BA-1B1CC8006283}</c15:txfldGUID>
                      <c15:f>'INICIO - DASHBOARD'!$Z$43</c15:f>
                      <c15:dlblFieldTableCache>
                        <c:ptCount val="1"/>
                        <c:pt idx="0">
                          <c:v>EVA</c:v>
                        </c:pt>
                      </c15:dlblFieldTableCache>
                    </c15:dlblFTEntry>
                  </c15:dlblFieldTable>
                  <c15:showDataLabelsRange val="0"/>
                </c:ext>
                <c:ext xmlns:c16="http://schemas.microsoft.com/office/drawing/2014/chart" uri="{C3380CC4-5D6E-409C-BE32-E72D297353CC}">
                  <c16:uniqueId val="{00000023-54F4-4C1A-8959-1BFF6C95ED45}"/>
                </c:ext>
              </c:extLst>
            </c:dLbl>
            <c:dLbl>
              <c:idx val="8"/>
              <c:tx>
                <c:strRef>
                  <c:f>'INICIO - DASHBOARD'!$Z$44</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{4F16F3C8-6E14-4344-BA5A-76B876141C01}</c15:txfldGUID>
                      <c15:f>'INICIO - DASHBOARD'!$Z$44</c15:f>
                      <c15:dlblFieldTableCache>
                        <c:ptCount val="1"/>
                        <c:pt idx="0">
                          <c:v>EVA</c:v>
                        </c:pt>
                      </c15:dlblFieldTableCache>
                    </c15:dlblFTEntry>
                  </c15:dlblFieldTable>
                  <c15:showDataLabelsRange val="0"/>
                </c:ext>
                <c:ext xmlns:c16="http://schemas.microsoft.com/office/drawing/2014/chart" uri="{C3380CC4-5D6E-409C-BE32-E72D297353CC}">
                  <c16:uniqueId val="{00000024-54F4-4C1A-8959-1BFF6C95ED45}"/>
                </c:ext>
              </c:extLst>
            </c:dLbl>
            <c:dLbl>
              <c:idx val="9"/>
              <c:tx>
                <c:strRef>
                  <c:f>'INICIO - DASHBOARD'!$Z$45</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{BF9273C1-1787-4786-AEE1-909799467E26}</c15:txfldGUID>
                      <c15:f>'INICIO - DASHBOARD'!$Z$45</c15:f>
                      <c15:dlblFieldTableCache>
                        <c:ptCount val="1"/>
                        <c:pt idx="0">
                          <c:v>EVA</c:v>
                        </c:pt>
                      </c15:dlblFieldTableCache>
                    </c15:dlblFTEntry>
                  </c15:dlblFieldTable>
                  <c15:showDataLabelsRange val="0"/>
                </c:ext>
                <c:ext xmlns:c16="http://schemas.microsoft.com/office/drawing/2014/chart" uri="{C3380CC4-5D6E-409C-BE32-E72D297353CC}">
                  <c16:uniqueId val="{00000025-54F4-4C1A-8959-1BFF6C95ED45}"/>
                </c:ext>
              </c:extLst>
            </c:dLbl>
            <c:dLbl>
              <c:idx val="10"/>
              <c:tx>
                <c:strRef>
                  <c:f>'INICIO - DASHBOARD'!$Z$46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{F15065C5-73C8-4D5F-8C8D-59163BB9B73C}</c15:txfldGUID>
                      <c15:f>'INICIO - DASHBOARD'!$Z$46</c15:f>
                      <c15:dlblFieldTableCache>
                        <c:ptCount val="1"/>
                        <c:pt idx="0">
                          <c:v>EVA</c:v>
                        </c:pt>
                      </c15:dlblFieldTableCache>
                    </c15:dlblFTEntry>
                  </c15:dlblFieldTable>
                  <c15:showDataLabelsRange val="0"/>
                </c:ext>
                <c:ext xmlns:c16="http://schemas.microsoft.com/office/drawing/2014/chart" uri="{C3380CC4-5D6E-409C-BE32-E72D297353CC}">
                  <c16:uniqueId val="{00000026-54F4-4C1A-8959-1BFF6C95ED45}"/>
                </c:ext>
              </c:extLst>
            </c:dLbl>
            <c:dLbl>
              <c:idx val="11"/>
              <c:tx>
                <c:strRef>
                  <c:f>'INICIO - DASHBOARD'!$Z$47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{C25C4287-F947-433D-9A4F-505CE2628687}</c15:txfldGUID>
                      <c15:f>'INICIO - DASHBOARD'!$Z$47</c15:f>
                      <c15:dlblFieldTableCache>
                        <c:ptCount val="1"/>
                        <c:pt idx="0">
                          <c:v>EVA</c:v>
                        </c:pt>
                      </c15:dlblFieldTableCache>
                    </c15:dlblFTEntry>
                  </c15:dlblFieldTable>
                  <c15:showDataLabelsRange val="0"/>
                </c:ext>
                <c:ext xmlns:c16="http://schemas.microsoft.com/office/drawing/2014/chart" uri="{C3380CC4-5D6E-409C-BE32-E72D297353CC}">
                  <c16:uniqueId val="{00000027-54F4-4C1A-8959-1BFF6C95E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'INICIO - DASHBOARD'!$Q$36:$Q$47</c:f>
              <c:strCache>
                <c:ptCount val="12"/>
                <c:pt idx="0">
                  <c:v>D1. Gobernanza, organización y liderazgo</c:v>
                </c:pt>
                <c:pt idx="1">
                  <c:v>D.2 Gestión del riesgo de fatiga</c:v>
                </c:pt>
                <c:pt idx="2">
                  <c:v>D.3 Diseño de turnos y jornadas</c:v>
                </c:pt>
                <c:pt idx="3">
                  <c:v>D.4 Gestión operacional de la fatiga</c:v>
                </c:pt>
                <c:pt idx="4">
                  <c:v>D.5 Gestión de la somnolencia</c:v>
                </c:pt>
                <c:pt idx="5">
                  <c:v>D.6 Salud ocupacional y trastornos del sueño</c:v>
                </c:pt>
                <c:pt idx="6">
                  <c:v>D.7 Controles críticos</c:v>
                </c:pt>
                <c:pt idx="7">
                  <c:v>D.8 Tecnología y sistemas de monitoreo</c:v>
                </c:pt>
                <c:pt idx="8">
                  <c:v>D.9 Factores humanos y organizacionales</c:v>
                </c:pt>
                <c:pt idx="9">
                  <c:v>D.10 Cultura de seguridad observable</c:v>
                </c:pt>
                <c:pt idx="10">
                  <c:v>D.11 Factores preventivos</c:v>
                </c:pt>
                <c:pt idx="11">
                  <c:v>D.12 Factores correctivos</c:v>
                </c:pt>
              </c:strCache>
            </c:strRef>
          </c:cat>
          <c:val>
            <c:numRef>
              <c:f>'INICIO - DASHBOARD'!$S$36:$S$47</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54F4-4C1A-8959-1BFF6C95ED45}"/>
            </c:ext>
          </c:extLst>
        </c:ser>
        <c:ser>
          <c:idx val="0"/>
          <c:order val="0"/>
          <c:tx>
            <c:strRef>
              <c:f>'INICIO - DASHBOARD'!$R$35</c:f>
              <c:strCache>
                <c:ptCount val="1"/>
                <c:pt idx="0">
                  <c:v>Inicial / Reactivo</c:v>
                </c:pt>
              </c:strCache>
            </c:strRef>
          </c:tx>
          <c:spPr>
            <a:solidFill>
              <a:srgbClr val="FF0000"/>
            </a:solidFill>
            <a:ln w="25400">
              <a:noFill/>
            </a:ln>
            <a:effectLst/>
          </c:spPr>
          <c:invertIfNegative val="0"/>
          <c:dLbls>
            <c:dLbl>
              <c:idx val="0"/>
              <c:tx>
                <c:strRef>
                  <c:f>'INICIO - DASHBOARD'!$Z$36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{3ED97453-56B2-4334-8065-8DFC4BE25579}</c15:txfldGUID>
                      <c15:f>'INICIO - DASHBOARD'!$Z$36</c15:f>
                      <c15:dlblFieldTableCache>
                        <c:ptCount val="1"/>
                        <c:pt idx="0">
                          <c:v>EVA</c:v>
                        </c:pt>
                      </c15:dlblFieldTableCache>
                    </c15:dlblFTEntry>
                  </c15:dlblFieldTable>
                  <c15:showDataLabelsRange val="0"/>
                </c:ext>
                <c:ext xmlns:c16="http://schemas.microsoft.com/office/drawing/2014/chart" uri="{C3380CC4-5D6E-409C-BE32-E72D297353CC}">
                  <c16:uniqueId val="{00000010-54F4-4C1A-8959-1BFF6C95ED45}"/>
                </c:ext>
              </c:extLst>
            </c:dLbl>
            <c:dLbl>
              <c:idx val="1"/>
              <c:tx>
                <c:strRef>
                  <c:f>'INICIO - DASHBOARD'!$Z$37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{9CD99446-E67B-4821-A153-83AF688DD015}</c15:txfldGUID>
                      <c15:f>'INICIO - DASHBOARD'!$Z$37</c15:f>
                      <c15:dlblFieldTableCache>
                        <c:ptCount val="1"/>
                        <c:pt idx="0">
                          <c:v>EVA</c:v>
                        </c:pt>
                      </c15:dlblFieldTableCache>
                    </c15:dlblFTEntry>
                  </c15:dlblFieldTable>
                  <c15:showDataLabelsRange val="0"/>
                </c:ext>
                <c:ext xmlns:c16="http://schemas.microsoft.com/office/drawing/2014/chart" uri="{C3380CC4-5D6E-409C-BE32-E72D297353CC}">
                  <c16:uniqueId val="{00000011-54F4-4C1A-8959-1BFF6C95ED45}"/>
                </c:ext>
              </c:extLst>
            </c:dLbl>
            <c:dLbl>
              <c:idx val="2"/>
              <c:tx>
                <c:strRef>
                  <c:f>'INICIO - DASHBOARD'!$Z$38</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{A86F05DB-A94F-4533-9699-4BB17D81C423}</c15:txfldGUID>
                      <c15:f>'INICIO - DASHBOARD'!$Z$38</c15:f>
                      <c15:dlblFieldTableCache>
                        <c:ptCount val="1"/>
                        <c:pt idx="0">
                          <c:v>EVA</c:v>
                        </c:pt>
                      </c15:dlblFieldTableCache>
                    </c15:dlblFTEntry>
                  </c15:dlblFieldTable>
                  <c15:showDataLabelsRange val="0"/>
                </c:ext>
                <c:ext xmlns:c16="http://schemas.microsoft.com/office/drawing/2014/chart" uri="{C3380CC4-5D6E-409C-BE32-E72D297353CC}">
                  <c16:uniqueId val="{00000012-54F4-4C1A-8959-1BFF6C95ED45}"/>
                </c:ext>
              </c:extLst>
            </c:dLbl>
            <c:dLbl>
              <c:idx val="3"/>
              <c:tx>
                <c:strRef>
                  <c:f>'INICIO - DASHBOARD'!$Z$39</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{CADB6656-759E-4309-B1E8-06828FEFBE00}</c15:txfldGUID>
                      <c15:f>'INICIO - DASHBOARD'!$Z$39</c15:f>
                      <c15:dlblFieldTableCache>
                        <c:ptCount val="1"/>
                        <c:pt idx="0">
                          <c:v>EVA</c:v>
                        </c:pt>
                      </c15:dlblFieldTableCache>
                    </c15:dlblFTEntry>
                  </c15:dlblFieldTable>
                  <c15:showDataLabelsRange val="0"/>
                </c:ext>
                <c:ext xmlns:c16="http://schemas.microsoft.com/office/drawing/2014/chart" uri="{C3380CC4-5D6E-409C-BE32-E72D297353CC}">
                  <c16:uniqueId val="{00000013-54F4-4C1A-8959-1BFF6C95ED45}"/>
                </c:ext>
              </c:extLst>
            </c:dLbl>
            <c:dLbl>
              <c:idx val="4"/>
              <c:tx>
                <c:strRef>
                  <c:f>'INICIO - DASHBOARD'!$Z$40</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{86F31615-E746-406F-8577-FD7137E9E5F5}</c15:txfldGUID>
                      <c15:f>'INICIO - DASHBOARD'!$Z$40</c15:f>
                      <c15:dlblFieldTableCache>
                        <c:ptCount val="1"/>
                        <c:pt idx="0">
                          <c:v>EVA</c:v>
                        </c:pt>
                      </c15:dlblFieldTableCache>
                    </c15:dlblFTEntry>
                  </c15:dlblFieldTable>
                  <c15:showDataLabelsRange val="0"/>
                </c:ext>
                <c:ext xmlns:c16="http://schemas.microsoft.com/office/drawing/2014/chart" uri="{C3380CC4-5D6E-409C-BE32-E72D297353CC}">
                  <c16:uniqueId val="{00000014-54F4-4C1A-8959-1BFF6C95ED45}"/>
                </c:ext>
              </c:extLst>
            </c:dLbl>
            <c:dLbl>
              <c:idx val="5"/>
              <c:tx>
                <c:strRef>
                  <c:f>'INICIO - DASHBOARD'!$Z$41</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{C9E9B889-BC90-4DA7-BAFD-374E9CF423DB}</c15:txfldGUID>
                      <c15:f>'INICIO - DASHBOARD'!$Z$41</c15:f>
                      <c15:dlblFieldTableCache>
                        <c:ptCount val="1"/>
                        <c:pt idx="0">
                          <c:v>EVA</c:v>
                        </c:pt>
                      </c15:dlblFieldTableCache>
                    </c15:dlblFTEntry>
                  </c15:dlblFieldTable>
                  <c15:showDataLabelsRange val="0"/>
                </c:ext>
                <c:ext xmlns:c16="http://schemas.microsoft.com/office/drawing/2014/chart" uri="{C3380CC4-5D6E-409C-BE32-E72D297353CC}">
                  <c16:uniqueId val="{00000015-54F4-4C1A-8959-1BFF6C95ED45}"/>
                </c:ext>
              </c:extLst>
            </c:dLbl>
            <c:dLbl>
              <c:idx val="6"/>
              <c:tx>
                <c:strRef>
                  <c:f>'INICIO - DASHBOARD'!$Z$42</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{405AC224-16E7-4FB9-9E58-B6679D4F6E17}</c15:txfldGUID>
                      <c15:f>'INICIO - DASHBOARD'!$Z$42</c15:f>
                      <c15:dlblFieldTableCache>
                        <c:ptCount val="1"/>
                        <c:pt idx="0">
                          <c:v>EVA</c:v>
                        </c:pt>
                      </c15:dlblFieldTableCache>
                    </c15:dlblFTEntry>
                  </c15:dlblFieldTable>
                  <c15:showDataLabelsRange val="0"/>
                </c:ext>
                <c:ext xmlns:c16="http://schemas.microsoft.com/office/drawing/2014/chart" uri="{C3380CC4-5D6E-409C-BE32-E72D297353CC}">
                  <c16:uniqueId val="{00000016-54F4-4C1A-8959-1BFF6C95ED45}"/>
                </c:ext>
              </c:extLst>
            </c:dLbl>
            <c:dLbl>
              <c:idx val="7"/>
              <c:tx>
                <c:strRef>
                  <c:f>'INICIO - DASHBOARD'!$Z$43</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{DE6D7E0E-C85C-46F1-AE9C-FE0E3845EED3}</c15:txfldGUID>
                      <c15:f>'INICIO - DASHBOARD'!$Z$43</c15:f>
                      <c15:dlblFieldTableCache>
                        <c:ptCount val="1"/>
                        <c:pt idx="0">
                          <c:v>EVA</c:v>
                        </c:pt>
                      </c15:dlblFieldTableCache>
                    </c15:dlblFTEntry>
                  </c15:dlblFieldTable>
                  <c15:showDataLabelsRange val="0"/>
                </c:ext>
                <c:ext xmlns:c16="http://schemas.microsoft.com/office/drawing/2014/chart" uri="{C3380CC4-5D6E-409C-BE32-E72D297353CC}">
                  <c16:uniqueId val="{00000017-54F4-4C1A-8959-1BFF6C95ED45}"/>
                </c:ext>
              </c:extLst>
            </c:dLbl>
            <c:dLbl>
              <c:idx val="8"/>
              <c:tx>
                <c:strRef>
                  <c:f>'INICIO - DASHBOARD'!$Z$44</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{91EB9469-52A3-44EB-96AF-41F694083EDD}</c15:txfldGUID>
                      <c15:f>'INICIO - DASHBOARD'!$Z$44</c15:f>
                      <c15:dlblFieldTableCache>
                        <c:ptCount val="1"/>
                        <c:pt idx="0">
                          <c:v>EVA</c:v>
                        </c:pt>
                      </c15:dlblFieldTableCache>
                    </c15:dlblFTEntry>
                  </c15:dlblFieldTable>
                  <c15:showDataLabelsRange val="0"/>
                </c:ext>
                <c:ext xmlns:c16="http://schemas.microsoft.com/office/drawing/2014/chart" uri="{C3380CC4-5D6E-409C-BE32-E72D297353CC}">
                  <c16:uniqueId val="{00000018-54F4-4C1A-8959-1BFF6C95ED45}"/>
                </c:ext>
              </c:extLst>
            </c:dLbl>
            <c:dLbl>
              <c:idx val="9"/>
              <c:tx>
                <c:strRef>
                  <c:f>'INICIO - DASHBOARD'!$Z$45</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{0DF15073-89A5-48DF-B4C4-2383730F84D9}</c15:txfldGUID>
                      <c15:f>'INICIO - DASHBOARD'!$Z$45</c15:f>
                      <c15:dlblFieldTableCache>
                        <c:ptCount val="1"/>
                        <c:pt idx="0">
                          <c:v>EVA</c:v>
                        </c:pt>
                      </c15:dlblFieldTableCache>
                    </c15:dlblFTEntry>
                  </c15:dlblFieldTable>
                  <c15:showDataLabelsRange val="0"/>
                </c:ext>
                <c:ext xmlns:c16="http://schemas.microsoft.com/office/drawing/2014/chart" uri="{C3380CC4-5D6E-409C-BE32-E72D297353CC}">
                  <c16:uniqueId val="{00000019-54F4-4C1A-8959-1BFF6C95ED45}"/>
                </c:ext>
              </c:extLst>
            </c:dLbl>
            <c:dLbl>
              <c:idx val="10"/>
              <c:tx>
                <c:strRef>
                  <c:f>'INICIO - DASHBOARD'!$Z$46</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{9D22322C-7304-40F5-B68B-E6E382EFB687}</c15:txfldGUID>
                      <c15:f>'INICIO - DASHBOARD'!$Z$46</c15:f>
                      <c15:dlblFieldTableCache>
                        <c:ptCount val="1"/>
                        <c:pt idx="0">
                          <c:v>EVA</c:v>
                        </c:pt>
                      </c15:dlblFieldTableCache>
                    </c15:dlblFTEntry>
                  </c15:dlblFieldTable>
                  <c15:showDataLabelsRange val="0"/>
                </c:ext>
                <c:ext xmlns:c16="http://schemas.microsoft.com/office/drawing/2014/chart" uri="{C3380CC4-5D6E-409C-BE32-E72D297353CC}">
                  <c16:uniqueId val="{0000001A-54F4-4C1A-8959-1BFF6C95ED45}"/>
                </c:ext>
              </c:extLst>
            </c:dLbl>
            <c:dLbl>
              <c:idx val="11"/>
              <c:tx>
                <c:strRef>
                  <c:f>'INICIO - DASHBOARD'!$Z$47</c:f>
                  <c:strCache>
                    <c:ptCount val="1"/>
                    <c:pt idx="0">
                      <c:v>EVA</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s-CL"/>
                </a:p>
              </c:txPr>
              <c:dLblPos val="inBase"/>
              <c:showLegendKey val="0"/>
              <c:showVal val="1"/>
              <c:showCatName val="0"/>
              <c:showSerName val="0"/>
              <c:showPercent val="0"/>
              <c:showBubbleSize val="0"/>
              <c:extLst>
                <c:ext xmlns:c15="http://schemas.microsoft.com/office/drawing/2012/chart" uri="{CE6537A1-D6FC-4f65-9D91-7224C49458BB}">
                  <c15:dlblFieldTable>
                    <c15:dlblFTEntry>
                      <c15:txfldGUID>{C36695E8-9BD9-41E1-B8BE-62A94979491A}</c15:txfldGUID>
                      <c15:f>'INICIO - DASHBOARD'!$Z$47</c15:f>
                      <c15:dlblFieldTableCache>
                        <c:ptCount val="1"/>
                        <c:pt idx="0">
                          <c:v>EVA</c:v>
                        </c:pt>
                      </c15:dlblFieldTableCache>
                    </c15:dlblFTEntry>
                  </c15:dlblFieldTable>
                  <c15:showDataLabelsRange val="0"/>
                </c:ext>
                <c:ext xmlns:c16="http://schemas.microsoft.com/office/drawing/2014/chart" uri="{C3380CC4-5D6E-409C-BE32-E72D297353CC}">
                  <c16:uniqueId val="{0000001B-54F4-4C1A-8959-1BFF6C95E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'INICIO - DASHBOARD'!$Q$36:$Q$47</c:f>
              <c:strCache>
                <c:ptCount val="12"/>
                <c:pt idx="0">
                  <c:v>D1. Gobernanza, organización y liderazgo</c:v>
                </c:pt>
                <c:pt idx="1">
                  <c:v>D.2 Gestión del riesgo de fatiga</c:v>
                </c:pt>
                <c:pt idx="2">
                  <c:v>D.3 Diseño de turnos y jornadas</c:v>
                </c:pt>
                <c:pt idx="3">
                  <c:v>D.4 Gestión operacional de la fatiga</c:v>
                </c:pt>
                <c:pt idx="4">
                  <c:v>D.5 Gestión de la somnolencia</c:v>
                </c:pt>
                <c:pt idx="5">
                  <c:v>D.6 Salud ocupacional y trastornos del sueño</c:v>
                </c:pt>
                <c:pt idx="6">
                  <c:v>D.7 Controles críticos</c:v>
                </c:pt>
                <c:pt idx="7">
                  <c:v>D.8 Tecnología y sistemas de monitoreo</c:v>
                </c:pt>
                <c:pt idx="8">
                  <c:v>D.9 Factores humanos y organizacionales</c:v>
                </c:pt>
                <c:pt idx="9">
                  <c:v>D.10 Cultura de seguridad observable</c:v>
                </c:pt>
                <c:pt idx="10">
                  <c:v>D.11 Factores preventivos</c:v>
                </c:pt>
                <c:pt idx="11">
                  <c:v>D.12 Factores correctivos</c:v>
                </c:pt>
              </c:strCache>
            </c:strRef>
          </c:cat>
          <c:val>
            <c:numRef>
              <c:f>'INICIO - DASHBOARD'!$R$36:$R$47</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B2B5-4EF2-A2EC-5BE145E8E2F6}"/>
            </c:ext>
          </c:extLst>
        </c:ser>
        <c:dLbls>
          <c:showLegendKey val="0"/>
          <c:showVal val="0"/>
          <c:showCatName val="0"/>
          <c:showSerName val="0"/>
          <c:showPercent val="0"/>
          <c:showBubbleSize val="0"/>
        </c:dLbls>
        <c:gapWidth val="50"/>
        <c:overlap val="100"/>
        <c:axId val="1851981200"/>
        <c:axId val="986183408"/>
      </c:barChart>
      <c:catAx>
        <c:axId val="18519812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86183408"/>
        <c:crosses val="autoZero"/>
        <c:auto val="1"/>
        <c:lblAlgn val="ctr"/>
        <c:lblOffset val="100"/>
        <c:noMultiLvlLbl val="0"/>
      </c:catAx>
      <c:valAx>
        <c:axId val="986183408"/>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1981200"/>
        <c:crosses val="max"/>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111481693416903E-2"/>
          <c:y val="2.2236588231481863E-2"/>
          <c:w val="0.87512612245739951"/>
          <c:h val="0.61746810279187536"/>
        </c:manualLayout>
      </c:layout>
      <c:scatterChart>
        <c:scatterStyle val="lineMarker"/>
        <c:varyColors val="0"/>
        <c:ser>
          <c:idx val="4"/>
          <c:order val="0"/>
          <c:tx>
            <c:strRef>
              <c:f>'Matriz de Prioridades'!$C$5</c:f>
              <c:strCache>
                <c:ptCount val="1"/>
                <c:pt idx="0">
                  <c:v> Elaborar Plan de Emergencias</c:v>
                </c:pt>
              </c:strCache>
            </c:strRef>
          </c:tx>
          <c:spPr>
            <a:ln w="57150" cap="flat" cmpd="sng" algn="ctr">
              <a:solidFill>
                <a:schemeClr val="tx1">
                  <a:lumMod val="85000"/>
                  <a:lumOff val="15000"/>
                </a:schemeClr>
              </a:solidFill>
              <a:prstDash val="solid"/>
              <a:round/>
            </a:ln>
            <a:effectLst>
              <a:glow rad="139700">
                <a:schemeClr val="accent1">
                  <a:satMod val="175000"/>
                  <a:alpha val="40000"/>
                </a:schemeClr>
              </a:glow>
            </a:effectLst>
          </c:spPr>
          <c:marker>
            <c:symbol val="circle"/>
            <c:size val="5"/>
            <c:spPr>
              <a:solidFill>
                <a:schemeClr val="accent2"/>
              </a:solidFill>
              <a:ln w="57150" cap="flat" cmpd="sng" algn="ctr">
                <a:solidFill>
                  <a:schemeClr val="tx1">
                    <a:lumMod val="85000"/>
                    <a:lumOff val="15000"/>
                  </a:schemeClr>
                </a:solidFill>
                <a:prstDash val="solid"/>
              </a:ln>
              <a:effectLst>
                <a:glow rad="139700">
                  <a:schemeClr val="accent1">
                    <a:satMod val="175000"/>
                    <a:alpha val="40000"/>
                  </a:schemeClr>
                </a:glow>
              </a:effectLst>
            </c:spPr>
          </c:marker>
          <c:xVal>
            <c:numRef>
              <c:f>'Matriz de Prioridades'!$I$5:$N$5</c:f>
              <c:numCache>
                <c:formatCode>General</c:formatCode>
                <c:ptCount val="6"/>
                <c:pt idx="0">
                  <c:v>2</c:v>
                </c:pt>
                <c:pt idx="3">
                  <c:v>5</c:v>
                </c:pt>
              </c:numCache>
            </c:numRef>
          </c:xVal>
          <c:yVal>
            <c:numRef>
              <c:f>'Matriz de Prioridades'!$L$5:$N$5</c:f>
              <c:numCache>
                <c:formatCode>General</c:formatCode>
                <c:ptCount val="3"/>
                <c:pt idx="0">
                  <c:v>5</c:v>
                </c:pt>
              </c:numCache>
            </c:numRef>
          </c:yVal>
          <c:smooth val="0"/>
          <c:extLst>
            <c:ext xmlns:c16="http://schemas.microsoft.com/office/drawing/2014/chart" uri="{C3380CC4-5D6E-409C-BE32-E72D297353CC}">
              <c16:uniqueId val="{00000004-1375-43F4-8AFC-CA9A7D66BDAF}"/>
            </c:ext>
          </c:extLst>
        </c:ser>
        <c:ser>
          <c:idx val="0"/>
          <c:order val="1"/>
          <c:tx>
            <c:strRef>
              <c:f>'Matriz de Prioridades'!$C$6</c:f>
              <c:strCache>
                <c:ptCount val="1"/>
                <c:pt idx="0">
                  <c:v> Elaborar Cascada Comunicacional</c:v>
                </c:pt>
              </c:strCache>
            </c:strRef>
          </c:tx>
          <c:spPr>
            <a:ln w="57150" cap="rnd">
              <a:solidFill>
                <a:schemeClr val="tx1"/>
              </a:solidFill>
              <a:round/>
            </a:ln>
            <a:effectLst>
              <a:glow rad="101600">
                <a:schemeClr val="accent1">
                  <a:satMod val="175000"/>
                  <a:alpha val="40000"/>
                </a:schemeClr>
              </a:glow>
              <a:outerShdw blurRad="50800" dist="50800" dir="5400000" sx="81000" sy="81000" algn="ctr" rotWithShape="0">
                <a:schemeClr val="tx1">
                  <a:alpha val="43000"/>
                </a:schemeClr>
              </a:outerShdw>
            </a:effectLst>
          </c:spPr>
          <c:marker>
            <c:symbol val="circle"/>
            <c:size val="5"/>
            <c:spPr>
              <a:solidFill>
                <a:schemeClr val="accent1"/>
              </a:solidFill>
              <a:ln w="57150">
                <a:solidFill>
                  <a:schemeClr val="accent1"/>
                </a:solidFill>
              </a:ln>
              <a:effectLst>
                <a:glow rad="101600">
                  <a:schemeClr val="accent1">
                    <a:satMod val="175000"/>
                    <a:alpha val="40000"/>
                  </a:schemeClr>
                </a:glow>
                <a:outerShdw blurRad="50800" dist="50800" dir="5400000" sx="81000" sy="81000" algn="ctr" rotWithShape="0">
                  <a:schemeClr val="tx1">
                    <a:alpha val="43000"/>
                  </a:schemeClr>
                </a:outerShdw>
              </a:effectLst>
            </c:spPr>
          </c:marker>
          <c:dPt>
            <c:idx val="0"/>
            <c:marker>
              <c:symbol val="circle"/>
              <c:size val="5"/>
              <c:spPr>
                <a:solidFill>
                  <a:schemeClr val="accent6"/>
                </a:solidFill>
                <a:ln w="57150">
                  <a:solidFill>
                    <a:schemeClr val="tx1"/>
                  </a:solidFill>
                </a:ln>
                <a:effectLst>
                  <a:glow rad="101600">
                    <a:schemeClr val="accent1">
                      <a:satMod val="175000"/>
                      <a:alpha val="40000"/>
                    </a:schemeClr>
                  </a:glow>
                  <a:outerShdw blurRad="50800" dist="50800" dir="5400000" sx="81000" sy="81000" algn="ctr" rotWithShape="0">
                    <a:schemeClr val="tx1">
                      <a:alpha val="43000"/>
                    </a:schemeClr>
                  </a:outerShdw>
                </a:effectLst>
              </c:spPr>
            </c:marker>
            <c:bubble3D val="0"/>
            <c:extLst>
              <c:ext xmlns:c16="http://schemas.microsoft.com/office/drawing/2014/chart" uri="{C3380CC4-5D6E-409C-BE32-E72D297353CC}">
                <c16:uniqueId val="{00000006-1375-43F4-8AFC-CA9A7D66BDAF}"/>
              </c:ext>
            </c:extLst>
          </c:dPt>
          <c:xVal>
            <c:numRef>
              <c:f>'Matriz de Prioridades'!$I$6:$K$6</c:f>
              <c:numCache>
                <c:formatCode>General</c:formatCode>
                <c:ptCount val="3"/>
                <c:pt idx="0">
                  <c:v>5</c:v>
                </c:pt>
              </c:numCache>
            </c:numRef>
          </c:xVal>
          <c:yVal>
            <c:numRef>
              <c:f>'Matriz de Prioridades'!$L$6:$N$6</c:f>
              <c:numCache>
                <c:formatCode>General</c:formatCode>
                <c:ptCount val="3"/>
                <c:pt idx="0">
                  <c:v>1</c:v>
                </c:pt>
              </c:numCache>
            </c:numRef>
          </c:yVal>
          <c:smooth val="0"/>
          <c:extLst>
            <c:ext xmlns:c16="http://schemas.microsoft.com/office/drawing/2014/chart" uri="{C3380CC4-5D6E-409C-BE32-E72D297353CC}">
              <c16:uniqueId val="{00000005-1375-43F4-8AFC-CA9A7D66BDAF}"/>
            </c:ext>
          </c:extLst>
        </c:ser>
        <c:ser>
          <c:idx val="1"/>
          <c:order val="2"/>
          <c:tx>
            <c:strRef>
              <c:f>'Matriz de Prioridades'!$C$7</c:f>
              <c:strCache>
                <c:ptCount val="1"/>
                <c:pt idx="0">
                  <c:v>Implementar equipamiento Brigada Emergencias</c:v>
                </c:pt>
              </c:strCache>
            </c:strRef>
          </c:tx>
          <c:spPr>
            <a:ln w="57150" cap="rnd">
              <a:solidFill>
                <a:schemeClr val="accent2"/>
              </a:solidFill>
              <a:round/>
            </a:ln>
            <a:effectLst>
              <a:glow rad="63500">
                <a:schemeClr val="accent1">
                  <a:satMod val="175000"/>
                  <a:alpha val="40000"/>
                </a:schemeClr>
              </a:glow>
              <a:outerShdw blurRad="50800" dist="38100" dir="2700000" algn="tl" rotWithShape="0">
                <a:prstClr val="black">
                  <a:alpha val="40000"/>
                </a:prstClr>
              </a:outerShdw>
            </a:effectLst>
          </c:spPr>
          <c:marker>
            <c:symbol val="circle"/>
            <c:size val="5"/>
            <c:spPr>
              <a:solidFill>
                <a:schemeClr val="accent2"/>
              </a:solidFill>
              <a:ln w="57150">
                <a:solidFill>
                  <a:schemeClr val="accent2"/>
                </a:solidFill>
              </a:ln>
              <a:effectLst>
                <a:glow rad="63500">
                  <a:schemeClr val="accent1">
                    <a:satMod val="175000"/>
                    <a:alpha val="40000"/>
                  </a:schemeClr>
                </a:glow>
                <a:outerShdw blurRad="50800" dist="38100" dir="2700000" algn="tl" rotWithShape="0">
                  <a:prstClr val="black">
                    <a:alpha val="40000"/>
                  </a:prstClr>
                </a:outerShdw>
              </a:effectLst>
            </c:spPr>
          </c:marker>
          <c:xVal>
            <c:numRef>
              <c:f>'Matriz de Prioridades'!$I$7:$K$7</c:f>
              <c:numCache>
                <c:formatCode>General</c:formatCode>
                <c:ptCount val="3"/>
                <c:pt idx="0">
                  <c:v>3</c:v>
                </c:pt>
              </c:numCache>
            </c:numRef>
          </c:xVal>
          <c:yVal>
            <c:numRef>
              <c:f>'Matriz de Prioridades'!$L$7:$N$7</c:f>
              <c:numCache>
                <c:formatCode>General</c:formatCode>
                <c:ptCount val="3"/>
                <c:pt idx="0">
                  <c:v>2</c:v>
                </c:pt>
              </c:numCache>
            </c:numRef>
          </c:yVal>
          <c:smooth val="0"/>
          <c:extLst>
            <c:ext xmlns:c16="http://schemas.microsoft.com/office/drawing/2014/chart" uri="{C3380CC4-5D6E-409C-BE32-E72D297353CC}">
              <c16:uniqueId val="{00000007-1375-43F4-8AFC-CA9A7D66BDAF}"/>
            </c:ext>
          </c:extLst>
        </c:ser>
        <c:ser>
          <c:idx val="2"/>
          <c:order val="3"/>
          <c:tx>
            <c:strRef>
              <c:f>'Matriz de Prioridades'!$C$8</c:f>
              <c:strCache>
                <c:ptCount val="1"/>
                <c:pt idx="0">
                  <c:v>Capacitar a Jefaturas en Primeros Auxilios</c:v>
                </c:pt>
              </c:strCache>
            </c:strRef>
          </c:tx>
          <c:spPr>
            <a:ln w="57150" cap="rnd">
              <a:solidFill>
                <a:schemeClr val="accent5">
                  <a:lumMod val="60000"/>
                  <a:lumOff val="40000"/>
                </a:schemeClr>
              </a:solidFill>
              <a:round/>
            </a:ln>
            <a:effectLst/>
          </c:spPr>
          <c:marker>
            <c:symbol val="circle"/>
            <c:size val="5"/>
            <c:spPr>
              <a:solidFill>
                <a:schemeClr val="accent6">
                  <a:lumMod val="20000"/>
                  <a:lumOff val="80000"/>
                </a:schemeClr>
              </a:solidFill>
              <a:ln w="57150">
                <a:solidFill>
                  <a:schemeClr val="accent5">
                    <a:lumMod val="60000"/>
                    <a:lumOff val="40000"/>
                  </a:schemeClr>
                </a:solidFill>
              </a:ln>
              <a:effectLst/>
            </c:spPr>
          </c:marker>
          <c:dPt>
            <c:idx val="0"/>
            <c:marker>
              <c:symbol val="circle"/>
              <c:size val="5"/>
              <c:spPr>
                <a:solidFill>
                  <a:schemeClr val="accent6">
                    <a:lumMod val="20000"/>
                    <a:lumOff val="80000"/>
                  </a:schemeClr>
                </a:solidFill>
                <a:ln w="57150">
                  <a:solidFill>
                    <a:schemeClr val="accent5">
                      <a:lumMod val="60000"/>
                      <a:lumOff val="40000"/>
                    </a:schemeClr>
                  </a:solidFill>
                </a:ln>
                <a:effectLst>
                  <a:glow rad="139700">
                    <a:schemeClr val="accent1">
                      <a:satMod val="175000"/>
                      <a:alpha val="40000"/>
                    </a:schemeClr>
                  </a:glow>
                </a:effectLst>
              </c:spPr>
            </c:marker>
            <c:bubble3D val="0"/>
            <c:spPr>
              <a:ln w="57150" cap="rnd">
                <a:solidFill>
                  <a:schemeClr val="accent5">
                    <a:lumMod val="60000"/>
                    <a:lumOff val="40000"/>
                  </a:schemeClr>
                </a:solidFill>
                <a:round/>
              </a:ln>
              <a:effectLst>
                <a:glow rad="139700">
                  <a:schemeClr val="accent1">
                    <a:satMod val="175000"/>
                    <a:alpha val="40000"/>
                  </a:schemeClr>
                </a:glow>
              </a:effectLst>
            </c:spPr>
            <c:extLst>
              <c:ext xmlns:c16="http://schemas.microsoft.com/office/drawing/2014/chart" uri="{C3380CC4-5D6E-409C-BE32-E72D297353CC}">
                <c16:uniqueId val="{00000009-1375-43F4-8AFC-CA9A7D66BDAF}"/>
              </c:ext>
            </c:extLst>
          </c:dPt>
          <c:xVal>
            <c:numRef>
              <c:f>'Matriz de Prioridades'!$I$8:$K$8</c:f>
              <c:numCache>
                <c:formatCode>General</c:formatCode>
                <c:ptCount val="3"/>
                <c:pt idx="0">
                  <c:v>3</c:v>
                </c:pt>
              </c:numCache>
            </c:numRef>
          </c:xVal>
          <c:yVal>
            <c:numRef>
              <c:f>'Matriz de Prioridades'!$L$8:$N$8</c:f>
              <c:numCache>
                <c:formatCode>General</c:formatCode>
                <c:ptCount val="3"/>
                <c:pt idx="0">
                  <c:v>2</c:v>
                </c:pt>
              </c:numCache>
            </c:numRef>
          </c:yVal>
          <c:smooth val="0"/>
          <c:extLst>
            <c:ext xmlns:c16="http://schemas.microsoft.com/office/drawing/2014/chart" uri="{C3380CC4-5D6E-409C-BE32-E72D297353CC}">
              <c16:uniqueId val="{00000008-1375-43F4-8AFC-CA9A7D66BDAF}"/>
            </c:ext>
          </c:extLst>
        </c:ser>
        <c:ser>
          <c:idx val="3"/>
          <c:order val="4"/>
          <c:tx>
            <c:strRef>
              <c:f>'Matriz de Prioridades'!$C$9</c:f>
              <c:strCache>
                <c:ptCount val="1"/>
                <c:pt idx="0">
                  <c:v>Respaldar información</c:v>
                </c:pt>
              </c:strCache>
            </c:strRef>
          </c:tx>
          <c:spPr>
            <a:ln w="57150" cap="rnd">
              <a:solidFill>
                <a:schemeClr val="accent4"/>
              </a:solidFill>
              <a:round/>
            </a:ln>
            <a:effectLst>
              <a:glow rad="63500">
                <a:schemeClr val="accent1">
                  <a:satMod val="175000"/>
                  <a:alpha val="40000"/>
                </a:schemeClr>
              </a:glow>
            </a:effectLst>
          </c:spPr>
          <c:marker>
            <c:symbol val="circle"/>
            <c:size val="5"/>
            <c:spPr>
              <a:solidFill>
                <a:schemeClr val="accent4"/>
              </a:solidFill>
              <a:ln w="57150">
                <a:solidFill>
                  <a:schemeClr val="accent4"/>
                </a:solidFill>
              </a:ln>
              <a:effectLst>
                <a:glow rad="63500">
                  <a:schemeClr val="accent1">
                    <a:satMod val="175000"/>
                    <a:alpha val="40000"/>
                  </a:schemeClr>
                </a:glow>
              </a:effectLst>
            </c:spPr>
          </c:marker>
          <c:xVal>
            <c:numRef>
              <c:f>'Matriz de Prioridades'!$I$9:$K$9</c:f>
              <c:numCache>
                <c:formatCode>General</c:formatCode>
                <c:ptCount val="3"/>
                <c:pt idx="0">
                  <c:v>3</c:v>
                </c:pt>
              </c:numCache>
            </c:numRef>
          </c:xVal>
          <c:yVal>
            <c:numRef>
              <c:f>'Matriz de Prioridades'!$L$9:$N$9</c:f>
              <c:numCache>
                <c:formatCode>General</c:formatCode>
                <c:ptCount val="3"/>
                <c:pt idx="0">
                  <c:v>1</c:v>
                </c:pt>
              </c:numCache>
            </c:numRef>
          </c:yVal>
          <c:smooth val="0"/>
          <c:extLst>
            <c:ext xmlns:c16="http://schemas.microsoft.com/office/drawing/2014/chart" uri="{C3380CC4-5D6E-409C-BE32-E72D297353CC}">
              <c16:uniqueId val="{0000000A-1375-43F4-8AFC-CA9A7D66BDAF}"/>
            </c:ext>
          </c:extLst>
        </c:ser>
        <c:ser>
          <c:idx val="5"/>
          <c:order val="5"/>
          <c:tx>
            <c:strRef>
              <c:f>'Matriz de Prioridades'!$C$10</c:f>
              <c:strCache>
                <c:ptCount val="1"/>
                <c:pt idx="0">
                  <c:v>1</c:v>
                </c:pt>
              </c:strCache>
            </c:strRef>
          </c:tx>
          <c:spPr>
            <a:ln w="57150" cap="rnd">
              <a:solidFill>
                <a:schemeClr val="accent6"/>
              </a:solidFill>
              <a:round/>
            </a:ln>
            <a:effectLst>
              <a:glow rad="63500">
                <a:schemeClr val="accent1">
                  <a:satMod val="175000"/>
                  <a:alpha val="40000"/>
                </a:schemeClr>
              </a:glow>
            </a:effectLst>
          </c:spPr>
          <c:marker>
            <c:symbol val="circle"/>
            <c:size val="5"/>
            <c:spPr>
              <a:solidFill>
                <a:schemeClr val="accent6"/>
              </a:solidFill>
              <a:ln w="57150">
                <a:solidFill>
                  <a:schemeClr val="accent6"/>
                </a:solidFill>
              </a:ln>
              <a:effectLst>
                <a:glow rad="63500">
                  <a:schemeClr val="accent1">
                    <a:satMod val="175000"/>
                    <a:alpha val="40000"/>
                  </a:schemeClr>
                </a:glow>
              </a:effectLst>
            </c:spPr>
          </c:marker>
          <c:xVal>
            <c:numRef>
              <c:f>'Matriz de Prioridades'!$I$10:$K$10</c:f>
              <c:numCache>
                <c:formatCode>General</c:formatCode>
                <c:ptCount val="3"/>
                <c:pt idx="0">
                  <c:v>2</c:v>
                </c:pt>
              </c:numCache>
            </c:numRef>
          </c:xVal>
          <c:yVal>
            <c:numRef>
              <c:f>'Matriz de Prioridades'!$L$10:$N$10</c:f>
              <c:numCache>
                <c:formatCode>General</c:formatCode>
                <c:ptCount val="3"/>
                <c:pt idx="0">
                  <c:v>3</c:v>
                </c:pt>
              </c:numCache>
            </c:numRef>
          </c:yVal>
          <c:smooth val="0"/>
          <c:extLst>
            <c:ext xmlns:c16="http://schemas.microsoft.com/office/drawing/2014/chart" uri="{C3380CC4-5D6E-409C-BE32-E72D297353CC}">
              <c16:uniqueId val="{0000000B-1375-43F4-8AFC-CA9A7D66BDAF}"/>
            </c:ext>
          </c:extLst>
        </c:ser>
        <c:ser>
          <c:idx val="6"/>
          <c:order val="6"/>
          <c:tx>
            <c:strRef>
              <c:f>'Matriz de Prioridades'!$C$11</c:f>
              <c:strCache>
                <c:ptCount val="1"/>
                <c:pt idx="0">
                  <c:v>2</c:v>
                </c:pt>
              </c:strCache>
            </c:strRef>
          </c:tx>
          <c:spPr>
            <a:ln w="57150" cap="rnd">
              <a:solidFill>
                <a:schemeClr val="accent1">
                  <a:lumMod val="60000"/>
                </a:schemeClr>
              </a:solidFill>
              <a:round/>
            </a:ln>
            <a:effectLst>
              <a:glow rad="63500">
                <a:schemeClr val="accent1">
                  <a:satMod val="175000"/>
                  <a:alpha val="40000"/>
                </a:schemeClr>
              </a:glow>
            </a:effectLst>
          </c:spPr>
          <c:marker>
            <c:symbol val="circle"/>
            <c:size val="5"/>
            <c:spPr>
              <a:solidFill>
                <a:schemeClr val="accent1">
                  <a:lumMod val="60000"/>
                </a:schemeClr>
              </a:solidFill>
              <a:ln w="57150">
                <a:solidFill>
                  <a:schemeClr val="accent1">
                    <a:lumMod val="60000"/>
                  </a:schemeClr>
                </a:solidFill>
              </a:ln>
              <a:effectLst>
                <a:glow rad="63500">
                  <a:schemeClr val="accent1">
                    <a:satMod val="175000"/>
                    <a:alpha val="40000"/>
                  </a:schemeClr>
                </a:glow>
              </a:effectLst>
            </c:spPr>
          </c:marker>
          <c:xVal>
            <c:numRef>
              <c:f>'Matriz de Prioridades'!$I$11:$K$11</c:f>
              <c:numCache>
                <c:formatCode>General</c:formatCode>
                <c:ptCount val="3"/>
                <c:pt idx="0">
                  <c:v>4</c:v>
                </c:pt>
              </c:numCache>
            </c:numRef>
          </c:xVal>
          <c:yVal>
            <c:numRef>
              <c:f>'Matriz de Prioridades'!$L$11:$N$11</c:f>
              <c:numCache>
                <c:formatCode>General</c:formatCode>
                <c:ptCount val="3"/>
                <c:pt idx="0">
                  <c:v>2</c:v>
                </c:pt>
              </c:numCache>
            </c:numRef>
          </c:yVal>
          <c:smooth val="0"/>
          <c:extLst>
            <c:ext xmlns:c16="http://schemas.microsoft.com/office/drawing/2014/chart" uri="{C3380CC4-5D6E-409C-BE32-E72D297353CC}">
              <c16:uniqueId val="{00000003-9216-465F-9982-9AABCCD8B44B}"/>
            </c:ext>
          </c:extLst>
        </c:ser>
        <c:ser>
          <c:idx val="7"/>
          <c:order val="7"/>
          <c:tx>
            <c:strRef>
              <c:f>'Matriz de Prioridades'!$C$12</c:f>
              <c:strCache>
                <c:ptCount val="1"/>
                <c:pt idx="0">
                  <c:v>3</c:v>
                </c:pt>
              </c:strCache>
            </c:strRef>
          </c:tx>
          <c:spPr>
            <a:ln w="57150" cap="rnd">
              <a:solidFill>
                <a:schemeClr val="accent2">
                  <a:lumMod val="60000"/>
                </a:schemeClr>
              </a:solidFill>
              <a:round/>
            </a:ln>
            <a:effectLst>
              <a:glow rad="63500">
                <a:schemeClr val="accent1">
                  <a:satMod val="175000"/>
                  <a:alpha val="40000"/>
                </a:schemeClr>
              </a:glow>
            </a:effectLst>
          </c:spPr>
          <c:marker>
            <c:symbol val="circle"/>
            <c:size val="5"/>
            <c:spPr>
              <a:solidFill>
                <a:schemeClr val="accent2">
                  <a:lumMod val="60000"/>
                </a:schemeClr>
              </a:solidFill>
              <a:ln w="57150">
                <a:solidFill>
                  <a:schemeClr val="accent2">
                    <a:lumMod val="60000"/>
                  </a:schemeClr>
                </a:solidFill>
              </a:ln>
              <a:effectLst>
                <a:glow rad="63500">
                  <a:schemeClr val="accent1">
                    <a:satMod val="175000"/>
                    <a:alpha val="40000"/>
                  </a:schemeClr>
                </a:glow>
              </a:effectLst>
            </c:spPr>
          </c:marker>
          <c:xVal>
            <c:numRef>
              <c:f>'Matriz de Prioridades'!$I$12:$K$12</c:f>
              <c:numCache>
                <c:formatCode>General</c:formatCode>
                <c:ptCount val="3"/>
                <c:pt idx="0">
                  <c:v>3</c:v>
                </c:pt>
              </c:numCache>
            </c:numRef>
          </c:xVal>
          <c:yVal>
            <c:numRef>
              <c:f>'Matriz de Prioridades'!$L$12:$N$12</c:f>
              <c:numCache>
                <c:formatCode>General</c:formatCode>
                <c:ptCount val="3"/>
                <c:pt idx="0">
                  <c:v>3</c:v>
                </c:pt>
              </c:numCache>
            </c:numRef>
          </c:yVal>
          <c:smooth val="0"/>
          <c:extLst>
            <c:ext xmlns:c16="http://schemas.microsoft.com/office/drawing/2014/chart" uri="{C3380CC4-5D6E-409C-BE32-E72D297353CC}">
              <c16:uniqueId val="{00000004-9216-465F-9982-9AABCCD8B44B}"/>
            </c:ext>
          </c:extLst>
        </c:ser>
        <c:ser>
          <c:idx val="8"/>
          <c:order val="8"/>
          <c:tx>
            <c:strRef>
              <c:f>'Matriz de Prioridades'!$C$13</c:f>
              <c:strCache>
                <c:ptCount val="1"/>
                <c:pt idx="0">
                  <c:v>4</c:v>
                </c:pt>
              </c:strCache>
            </c:strRef>
          </c:tx>
          <c:spPr>
            <a:ln w="57150" cap="rnd">
              <a:solidFill>
                <a:schemeClr val="accent3">
                  <a:lumMod val="60000"/>
                </a:schemeClr>
              </a:solidFill>
              <a:round/>
            </a:ln>
            <a:effectLst>
              <a:glow rad="63500">
                <a:schemeClr val="accent1">
                  <a:satMod val="175000"/>
                  <a:alpha val="40000"/>
                </a:schemeClr>
              </a:glow>
            </a:effectLst>
          </c:spPr>
          <c:marker>
            <c:symbol val="circle"/>
            <c:size val="5"/>
            <c:spPr>
              <a:solidFill>
                <a:schemeClr val="accent3">
                  <a:lumMod val="60000"/>
                </a:schemeClr>
              </a:solidFill>
              <a:ln w="57150">
                <a:solidFill>
                  <a:schemeClr val="accent3">
                    <a:lumMod val="60000"/>
                  </a:schemeClr>
                </a:solidFill>
              </a:ln>
              <a:effectLst>
                <a:glow rad="63500">
                  <a:schemeClr val="accent1">
                    <a:satMod val="175000"/>
                    <a:alpha val="40000"/>
                  </a:schemeClr>
                </a:glow>
              </a:effectLst>
            </c:spPr>
          </c:marker>
          <c:xVal>
            <c:numRef>
              <c:f>'Matriz de Prioridades'!$I$13:$K$13</c:f>
              <c:numCache>
                <c:formatCode>General</c:formatCode>
                <c:ptCount val="3"/>
                <c:pt idx="0">
                  <c:v>2</c:v>
                </c:pt>
              </c:numCache>
            </c:numRef>
          </c:xVal>
          <c:yVal>
            <c:numRef>
              <c:f>'Matriz de Prioridades'!$L$13:$N$13</c:f>
              <c:numCache>
                <c:formatCode>General</c:formatCode>
                <c:ptCount val="3"/>
                <c:pt idx="0">
                  <c:v>4</c:v>
                </c:pt>
              </c:numCache>
            </c:numRef>
          </c:yVal>
          <c:smooth val="0"/>
          <c:extLst>
            <c:ext xmlns:c16="http://schemas.microsoft.com/office/drawing/2014/chart" uri="{C3380CC4-5D6E-409C-BE32-E72D297353CC}">
              <c16:uniqueId val="{00000005-9216-465F-9982-9AABCCD8B44B}"/>
            </c:ext>
          </c:extLst>
        </c:ser>
        <c:ser>
          <c:idx val="9"/>
          <c:order val="9"/>
          <c:tx>
            <c:strRef>
              <c:f>'Matriz de Prioridades'!$C$14</c:f>
              <c:strCache>
                <c:ptCount val="1"/>
                <c:pt idx="0">
                  <c:v>5</c:v>
                </c:pt>
              </c:strCache>
            </c:strRef>
          </c:tx>
          <c:spPr>
            <a:ln w="57150" cap="rnd">
              <a:solidFill>
                <a:schemeClr val="accent4">
                  <a:lumMod val="60000"/>
                </a:schemeClr>
              </a:solidFill>
              <a:round/>
            </a:ln>
            <a:effectLst>
              <a:glow rad="63500">
                <a:schemeClr val="accent1">
                  <a:satMod val="175000"/>
                  <a:alpha val="40000"/>
                </a:schemeClr>
              </a:glow>
            </a:effectLst>
          </c:spPr>
          <c:marker>
            <c:symbol val="circle"/>
            <c:size val="5"/>
            <c:spPr>
              <a:solidFill>
                <a:schemeClr val="accent4">
                  <a:lumMod val="60000"/>
                </a:schemeClr>
              </a:solidFill>
              <a:ln w="57150">
                <a:solidFill>
                  <a:schemeClr val="accent4">
                    <a:lumMod val="60000"/>
                  </a:schemeClr>
                </a:solidFill>
              </a:ln>
              <a:effectLst>
                <a:glow rad="63500">
                  <a:schemeClr val="accent1">
                    <a:satMod val="175000"/>
                    <a:alpha val="40000"/>
                  </a:schemeClr>
                </a:glow>
              </a:effectLst>
            </c:spPr>
          </c:marker>
          <c:xVal>
            <c:numRef>
              <c:f>'Matriz de Prioridades'!$I$14:$K$14</c:f>
              <c:numCache>
                <c:formatCode>General</c:formatCode>
                <c:ptCount val="3"/>
                <c:pt idx="0">
                  <c:v>1</c:v>
                </c:pt>
              </c:numCache>
            </c:numRef>
          </c:xVal>
          <c:yVal>
            <c:numRef>
              <c:f>'Matriz de Prioridades'!$L$14:$N$14</c:f>
              <c:numCache>
                <c:formatCode>General</c:formatCode>
                <c:ptCount val="3"/>
                <c:pt idx="0">
                  <c:v>5</c:v>
                </c:pt>
              </c:numCache>
            </c:numRef>
          </c:yVal>
          <c:smooth val="0"/>
          <c:extLst>
            <c:ext xmlns:c16="http://schemas.microsoft.com/office/drawing/2014/chart" uri="{C3380CC4-5D6E-409C-BE32-E72D297353CC}">
              <c16:uniqueId val="{00000006-9216-465F-9982-9AABCCD8B44B}"/>
            </c:ext>
          </c:extLst>
        </c:ser>
        <c:ser>
          <c:idx val="10"/>
          <c:order val="10"/>
          <c:tx>
            <c:strRef>
              <c:f>'Matriz de Prioridades'!$C$15</c:f>
              <c:strCache>
                <c:ptCount val="1"/>
                <c:pt idx="0">
                  <c:v>6</c:v>
                </c:pt>
              </c:strCache>
            </c:strRef>
          </c:tx>
          <c:spPr>
            <a:ln w="57150" cap="rnd">
              <a:solidFill>
                <a:schemeClr val="accent5">
                  <a:lumMod val="60000"/>
                </a:schemeClr>
              </a:solidFill>
              <a:round/>
            </a:ln>
            <a:effectLst>
              <a:glow rad="63500">
                <a:schemeClr val="accent1">
                  <a:satMod val="175000"/>
                  <a:alpha val="40000"/>
                </a:schemeClr>
              </a:glow>
            </a:effectLst>
          </c:spPr>
          <c:marker>
            <c:symbol val="circle"/>
            <c:size val="5"/>
            <c:spPr>
              <a:solidFill>
                <a:schemeClr val="accent5">
                  <a:lumMod val="60000"/>
                </a:schemeClr>
              </a:solidFill>
              <a:ln w="57150">
                <a:solidFill>
                  <a:schemeClr val="accent5">
                    <a:lumMod val="60000"/>
                  </a:schemeClr>
                </a:solidFill>
              </a:ln>
              <a:effectLst>
                <a:glow rad="63500">
                  <a:schemeClr val="accent1">
                    <a:satMod val="175000"/>
                    <a:alpha val="40000"/>
                  </a:schemeClr>
                </a:glow>
              </a:effectLst>
            </c:spPr>
          </c:marker>
          <c:xVal>
            <c:numRef>
              <c:f>'Matriz de Prioridades'!$I$15:$K$15</c:f>
              <c:numCache>
                <c:formatCode>General</c:formatCode>
                <c:ptCount val="3"/>
                <c:pt idx="0">
                  <c:v>5</c:v>
                </c:pt>
              </c:numCache>
            </c:numRef>
          </c:xVal>
          <c:yVal>
            <c:numRef>
              <c:f>'Matriz de Prioridades'!$L$15:$N$15</c:f>
              <c:numCache>
                <c:formatCode>General</c:formatCode>
                <c:ptCount val="3"/>
                <c:pt idx="0">
                  <c:v>3</c:v>
                </c:pt>
              </c:numCache>
            </c:numRef>
          </c:yVal>
          <c:smooth val="0"/>
          <c:extLst>
            <c:ext xmlns:c16="http://schemas.microsoft.com/office/drawing/2014/chart" uri="{C3380CC4-5D6E-409C-BE32-E72D297353CC}">
              <c16:uniqueId val="{00000007-9216-465F-9982-9AABCCD8B44B}"/>
            </c:ext>
          </c:extLst>
        </c:ser>
        <c:ser>
          <c:idx val="11"/>
          <c:order val="11"/>
          <c:tx>
            <c:strRef>
              <c:f>'Matriz de Prioridades'!$C$16</c:f>
              <c:strCache>
                <c:ptCount val="1"/>
                <c:pt idx="0">
                  <c:v>7</c:v>
                </c:pt>
              </c:strCache>
            </c:strRef>
          </c:tx>
          <c:spPr>
            <a:ln w="57150" cap="rnd">
              <a:solidFill>
                <a:schemeClr val="accent6">
                  <a:lumMod val="60000"/>
                </a:schemeClr>
              </a:solidFill>
              <a:round/>
            </a:ln>
            <a:effectLst>
              <a:glow rad="63500">
                <a:schemeClr val="accent1">
                  <a:satMod val="175000"/>
                  <a:alpha val="40000"/>
                </a:schemeClr>
              </a:glow>
            </a:effectLst>
          </c:spPr>
          <c:marker>
            <c:symbol val="circle"/>
            <c:size val="5"/>
            <c:spPr>
              <a:solidFill>
                <a:schemeClr val="accent6">
                  <a:lumMod val="60000"/>
                </a:schemeClr>
              </a:solidFill>
              <a:ln w="57150">
                <a:solidFill>
                  <a:schemeClr val="accent6">
                    <a:lumMod val="60000"/>
                  </a:schemeClr>
                </a:solidFill>
              </a:ln>
              <a:effectLst>
                <a:glow rad="63500">
                  <a:schemeClr val="accent1">
                    <a:satMod val="175000"/>
                    <a:alpha val="40000"/>
                  </a:schemeClr>
                </a:glow>
              </a:effectLst>
            </c:spPr>
          </c:marker>
          <c:xVal>
            <c:numRef>
              <c:f>'Matriz de Prioridades'!$I$16:$K$16</c:f>
              <c:numCache>
                <c:formatCode>General</c:formatCode>
                <c:ptCount val="3"/>
                <c:pt idx="0">
                  <c:v>1</c:v>
                </c:pt>
              </c:numCache>
            </c:numRef>
          </c:xVal>
          <c:yVal>
            <c:numRef>
              <c:f>'Matriz de Prioridades'!$L$16:$N$16</c:f>
              <c:numCache>
                <c:formatCode>General</c:formatCode>
                <c:ptCount val="3"/>
                <c:pt idx="0">
                  <c:v>1</c:v>
                </c:pt>
              </c:numCache>
            </c:numRef>
          </c:yVal>
          <c:smooth val="0"/>
          <c:extLst>
            <c:ext xmlns:c16="http://schemas.microsoft.com/office/drawing/2014/chart" uri="{C3380CC4-5D6E-409C-BE32-E72D297353CC}">
              <c16:uniqueId val="{00000008-9216-465F-9982-9AABCCD8B44B}"/>
            </c:ext>
          </c:extLst>
        </c:ser>
        <c:dLbls>
          <c:showLegendKey val="0"/>
          <c:showVal val="0"/>
          <c:showCatName val="0"/>
          <c:showSerName val="0"/>
          <c:showPercent val="0"/>
          <c:showBubbleSize val="0"/>
        </c:dLbls>
        <c:axId val="1514073503"/>
        <c:axId val="1480974927"/>
      </c:scatterChart>
      <c:valAx>
        <c:axId val="1514073503"/>
        <c:scaling>
          <c:orientation val="minMax"/>
          <c:max val="5"/>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s-CL"/>
          </a:p>
        </c:txPr>
        <c:crossAx val="1480974927"/>
        <c:crossesAt val="0"/>
        <c:crossBetween val="midCat"/>
        <c:majorUnit val="0.5"/>
      </c:valAx>
      <c:valAx>
        <c:axId val="1480974927"/>
        <c:scaling>
          <c:orientation val="minMax"/>
          <c:max val="5"/>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s-CL"/>
          </a:p>
        </c:txPr>
        <c:crossAx val="1514073503"/>
        <c:crossesAt val="0"/>
        <c:crossBetween val="midCat"/>
        <c:majorUnit val="0.5"/>
      </c:valAx>
      <c:spPr>
        <a:solidFill>
          <a:srgbClr val="C6D9F1">
            <a:alpha val="34118"/>
          </a:srgbClr>
        </a:solidFill>
        <a:ln>
          <a:noFill/>
        </a:ln>
        <a:effectLst/>
      </c:spPr>
    </c:plotArea>
    <c:legend>
      <c:legendPos val="b"/>
      <c:layout>
        <c:manualLayout>
          <c:xMode val="edge"/>
          <c:yMode val="edge"/>
          <c:x val="1.8753971105210543E-2"/>
          <c:y val="0.75423039302439521"/>
          <c:w val="0.94506888393870692"/>
          <c:h val="0.24576960697560493"/>
        </c:manualLayout>
      </c:layout>
      <c:overlay val="0"/>
      <c:spPr>
        <a:noFill/>
        <a:ln>
          <a:noFill/>
        </a:ln>
        <a:effectLst/>
      </c:spPr>
      <c:txPr>
        <a:bodyPr rot="0" spcFirstLastPara="1" vertOverflow="ellipsis" vert="horz" wrap="square" anchor="ctr" anchorCtr="1"/>
        <a:lstStyle/>
        <a:p>
          <a:pPr algn="just">
            <a:defRPr sz="1100" b="1"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s-C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DISTRIBUCIÓN DE PRIORIDADES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rgbClr val="000000"/>
              </a:solidFill>
              <a:latin typeface="+mn-lt"/>
              <a:ea typeface="+mn-ea"/>
              <a:cs typeface="+mn-cs"/>
            </a:defRPr>
          </a:pPr>
          <a:r>
            <a:rPr kumimoji="0" lang="es-CL" sz="1400" b="0" i="0" u="none" strike="noStrike" kern="1200" cap="none" spc="0" normalizeH="0" baseline="0" noProof="0">
              <a:ln>
                <a:noFill/>
              </a:ln>
              <a:solidFill>
                <a:srgbClr val="000000"/>
              </a:solidFill>
              <a:effectLst/>
              <a:uLnTx/>
              <a:uFillTx/>
              <a:latin typeface="Calibri"/>
            </a:rPr>
            <a:t>DISTRIBUCIÓN DE PRIORIDADES</a:t>
          </a:r>
        </a:p>
      </cx:txPr>
    </cx:title>
    <cx:plotArea>
      <cx:plotAreaRegion>
        <cx:series layoutId="treemap" uniqueId="{B977A785-BFE4-4F13-86E3-FE0BA42B97C6}">
          <cx:dataLabels>
            <cx:txPr>
              <a:bodyPr spcFirstLastPara="1" vertOverflow="ellipsis" horzOverflow="overflow" wrap="square" lIns="0" tIns="0" rIns="0" bIns="0" anchor="ctr" anchorCtr="1"/>
              <a:lstStyle/>
              <a:p>
                <a:pPr algn="ctr" rtl="0">
                  <a:defRPr sz="1600" b="1">
                    <a:solidFill>
                      <a:schemeClr val="bg1"/>
                    </a:solidFill>
                  </a:defRPr>
                </a:pPr>
                <a:endParaRPr lang="es-ES" sz="1600" b="1" i="0" u="none" strike="noStrike" kern="1200" baseline="0">
                  <a:solidFill>
                    <a:schemeClr val="bg1"/>
                  </a:solidFill>
                  <a:latin typeface="Calibri"/>
                </a:endParaRPr>
              </a:p>
            </cx:txPr>
          </cx:dataLabels>
          <cx:dataId val="0"/>
          <cx:layoutPr/>
        </cx:series>
      </cx:plotAreaRegion>
    </cx:plotArea>
  </cx:chart>
  <cx:spPr>
    <a:solidFill>
      <a:schemeClr val="accent6">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hyperlink" Target="#'INICIO - DASHBOARD'!A1"/></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1225550</xdr:colOff>
      <xdr:row>51</xdr:row>
      <xdr:rowOff>69850</xdr:rowOff>
    </xdr:from>
    <xdr:ext cx="184731" cy="264560"/>
    <xdr:sp macro="" textlink="">
      <xdr:nvSpPr>
        <xdr:cNvPr id="3" name="CuadroTexto 2">
          <a:extLst>
            <a:ext uri="{FF2B5EF4-FFF2-40B4-BE49-F238E27FC236}">
              <a16:creationId xmlns:a16="http://schemas.microsoft.com/office/drawing/2014/main" id="{329250CB-D906-A1E8-03ED-28479F11460F}"/>
            </a:ext>
          </a:extLst>
        </xdr:cNvPr>
        <xdr:cNvSpPr txBox="1"/>
      </xdr:nvSpPr>
      <xdr:spPr>
        <a:xfrm>
          <a:off x="5588000" y="12960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L" sz="1100"/>
        </a:p>
      </xdr:txBody>
    </xdr:sp>
    <xdr:clientData/>
  </xdr:oneCellAnchor>
  <xdr:twoCellAnchor>
    <xdr:from>
      <xdr:col>1</xdr:col>
      <xdr:colOff>45358</xdr:colOff>
      <xdr:row>51</xdr:row>
      <xdr:rowOff>127000</xdr:rowOff>
    </xdr:from>
    <xdr:to>
      <xdr:col>14</xdr:col>
      <xdr:colOff>14941</xdr:colOff>
      <xdr:row>76</xdr:row>
      <xdr:rowOff>72572</xdr:rowOff>
    </xdr:to>
    <xdr:graphicFrame macro="">
      <xdr:nvGraphicFramePr>
        <xdr:cNvPr id="4" name="Gráfico 3">
          <a:extLst>
            <a:ext uri="{FF2B5EF4-FFF2-40B4-BE49-F238E27FC236}">
              <a16:creationId xmlns:a16="http://schemas.microsoft.com/office/drawing/2014/main" id="{7793038D-661E-9922-AB91-A0EBF7E4A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6788150</xdr:colOff>
      <xdr:row>122</xdr:row>
      <xdr:rowOff>2133600</xdr:rowOff>
    </xdr:from>
    <xdr:to>
      <xdr:col>6</xdr:col>
      <xdr:colOff>352425</xdr:colOff>
      <xdr:row>122</xdr:row>
      <xdr:rowOff>2508250</xdr:rowOff>
    </xdr:to>
    <xdr:sp macro="" textlink="">
      <xdr:nvSpPr>
        <xdr:cNvPr id="2" name="Flecha: a la derecha 1">
          <a:hlinkClick xmlns:r="http://schemas.openxmlformats.org/officeDocument/2006/relationships" r:id="rId1"/>
          <a:extLst>
            <a:ext uri="{FF2B5EF4-FFF2-40B4-BE49-F238E27FC236}">
              <a16:creationId xmlns:a16="http://schemas.microsoft.com/office/drawing/2014/main" id="{DFCE451C-41BD-94F7-133E-8BD4CB62F379}"/>
            </a:ext>
          </a:extLst>
        </xdr:cNvPr>
        <xdr:cNvSpPr/>
      </xdr:nvSpPr>
      <xdr:spPr>
        <a:xfrm rot="10800000">
          <a:off x="16471900" y="100828475"/>
          <a:ext cx="406400" cy="3746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664885</xdr:colOff>
      <xdr:row>20</xdr:row>
      <xdr:rowOff>119532</xdr:rowOff>
    </xdr:from>
    <xdr:to>
      <xdr:col>19</xdr:col>
      <xdr:colOff>418353</xdr:colOff>
      <xdr:row>54</xdr:row>
      <xdr:rowOff>21878</xdr:rowOff>
    </xdr:to>
    <xdr:graphicFrame macro="">
      <xdr:nvGraphicFramePr>
        <xdr:cNvPr id="7" name="Gráfico 6">
          <a:extLst>
            <a:ext uri="{FF2B5EF4-FFF2-40B4-BE49-F238E27FC236}">
              <a16:creationId xmlns:a16="http://schemas.microsoft.com/office/drawing/2014/main" id="{968E1979-31FC-57AA-A3AE-4B4CAB99E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187841</xdr:colOff>
      <xdr:row>21</xdr:row>
      <xdr:rowOff>97115</xdr:rowOff>
    </xdr:from>
    <xdr:to>
      <xdr:col>4</xdr:col>
      <xdr:colOff>404478</xdr:colOff>
      <xdr:row>41</xdr:row>
      <xdr:rowOff>7472</xdr:rowOff>
    </xdr:to>
    <xdr:sp macro="" textlink="">
      <xdr:nvSpPr>
        <xdr:cNvPr id="2" name="Flecha: a la derecha 1">
          <a:extLst>
            <a:ext uri="{FF2B5EF4-FFF2-40B4-BE49-F238E27FC236}">
              <a16:creationId xmlns:a16="http://schemas.microsoft.com/office/drawing/2014/main" id="{E78C9A7C-6C0C-965A-1B7D-7818D92068B8}"/>
            </a:ext>
          </a:extLst>
        </xdr:cNvPr>
        <xdr:cNvSpPr/>
      </xdr:nvSpPr>
      <xdr:spPr>
        <a:xfrm rot="16200000">
          <a:off x="4495696" y="6393760"/>
          <a:ext cx="4119500" cy="216637"/>
        </a:xfrm>
        <a:prstGeom prst="rightArrow">
          <a:avLst>
            <a:gd name="adj1" fmla="val 50000"/>
            <a:gd name="adj2" fmla="val 225863"/>
          </a:avLst>
        </a:prstGeom>
        <a:gradFill flip="none" rotWithShape="1">
          <a:gsLst>
            <a:gs pos="0">
              <a:srgbClr val="FF0000"/>
            </a:gs>
            <a:gs pos="50000">
              <a:srgbClr val="FFFF00"/>
            </a:gs>
            <a:gs pos="100000">
              <a:srgbClr val="00B050"/>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5</xdr:col>
      <xdr:colOff>62754</xdr:colOff>
      <xdr:row>43</xdr:row>
      <xdr:rowOff>68037</xdr:rowOff>
    </xdr:from>
    <xdr:to>
      <xdr:col>18</xdr:col>
      <xdr:colOff>1402975</xdr:colOff>
      <xdr:row>44</xdr:row>
      <xdr:rowOff>101384</xdr:rowOff>
    </xdr:to>
    <xdr:sp macro="" textlink="">
      <xdr:nvSpPr>
        <xdr:cNvPr id="4" name="Flecha: a la derecha 3">
          <a:extLst>
            <a:ext uri="{FF2B5EF4-FFF2-40B4-BE49-F238E27FC236}">
              <a16:creationId xmlns:a16="http://schemas.microsoft.com/office/drawing/2014/main" id="{8B65D748-09EF-4DC6-A24F-63A5C8DF49A1}"/>
            </a:ext>
          </a:extLst>
        </xdr:cNvPr>
        <xdr:cNvSpPr/>
      </xdr:nvSpPr>
      <xdr:spPr>
        <a:xfrm rot="10800000">
          <a:off x="7392468" y="8994323"/>
          <a:ext cx="5758007" cy="214775"/>
        </a:xfrm>
        <a:prstGeom prst="rightArrow">
          <a:avLst>
            <a:gd name="adj1" fmla="val 50000"/>
            <a:gd name="adj2" fmla="val 199302"/>
          </a:avLst>
        </a:prstGeom>
        <a:gradFill flip="none" rotWithShape="1">
          <a:gsLst>
            <a:gs pos="0">
              <a:srgbClr val="FF0000"/>
            </a:gs>
            <a:gs pos="50000">
              <a:srgbClr val="FFFF00"/>
            </a:gs>
            <a:gs pos="100000">
              <a:srgbClr val="00B050"/>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oneCellAnchor>
    <xdr:from>
      <xdr:col>19</xdr:col>
      <xdr:colOff>110523</xdr:colOff>
      <xdr:row>18</xdr:row>
      <xdr:rowOff>11545</xdr:rowOff>
    </xdr:from>
    <xdr:ext cx="405432" cy="4029278"/>
    <xdr:sp macro="" textlink="">
      <xdr:nvSpPr>
        <xdr:cNvPr id="8" name="CuadroTexto 7">
          <a:extLst>
            <a:ext uri="{FF2B5EF4-FFF2-40B4-BE49-F238E27FC236}">
              <a16:creationId xmlns:a16="http://schemas.microsoft.com/office/drawing/2014/main" id="{8A014A31-6D81-CBE1-5B4A-A46E85B9FEA4}"/>
            </a:ext>
          </a:extLst>
        </xdr:cNvPr>
        <xdr:cNvSpPr txBox="1"/>
      </xdr:nvSpPr>
      <xdr:spPr>
        <a:xfrm rot="16200000">
          <a:off x="11056327" y="8346650"/>
          <a:ext cx="402927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L" sz="2000" b="1"/>
            <a:t>E  S  F  U  E  R  Z  O</a:t>
          </a:r>
        </a:p>
      </xdr:txBody>
    </xdr:sp>
    <xdr:clientData/>
  </xdr:oneCellAnchor>
  <xdr:oneCellAnchor>
    <xdr:from>
      <xdr:col>13</xdr:col>
      <xdr:colOff>125091</xdr:colOff>
      <xdr:row>19</xdr:row>
      <xdr:rowOff>82414</xdr:rowOff>
    </xdr:from>
    <xdr:ext cx="4029278" cy="405432"/>
    <xdr:sp macro="" textlink="">
      <xdr:nvSpPr>
        <xdr:cNvPr id="9" name="CuadroTexto 8">
          <a:extLst>
            <a:ext uri="{FF2B5EF4-FFF2-40B4-BE49-F238E27FC236}">
              <a16:creationId xmlns:a16="http://schemas.microsoft.com/office/drawing/2014/main" id="{AE962700-F897-459A-BE3D-2056C2F83389}"/>
            </a:ext>
          </a:extLst>
        </xdr:cNvPr>
        <xdr:cNvSpPr txBox="1"/>
      </xdr:nvSpPr>
      <xdr:spPr>
        <a:xfrm>
          <a:off x="8922727" y="6790323"/>
          <a:ext cx="402927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L" sz="2000" b="1"/>
            <a:t>I  M  P  A  C  T  O</a:t>
          </a:r>
        </a:p>
      </xdr:txBody>
    </xdr:sp>
    <xdr:clientData/>
  </xdr:oneCellAnchor>
  <xdr:twoCellAnchor>
    <xdr:from>
      <xdr:col>1</xdr:col>
      <xdr:colOff>36657</xdr:colOff>
      <xdr:row>32</xdr:row>
      <xdr:rowOff>112989</xdr:rowOff>
    </xdr:from>
    <xdr:to>
      <xdr:col>3</xdr:col>
      <xdr:colOff>939800</xdr:colOff>
      <xdr:row>53</xdr:row>
      <xdr:rowOff>114996</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5B47ACD6-6292-45EE-3FC4-E5F1A05878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8607" y="9809439"/>
              <a:ext cx="5335443" cy="4008857"/>
            </a:xfrm>
            <a:prstGeom prst="rect">
              <a:avLst/>
            </a:prstGeom>
            <a:solidFill>
              <a:prstClr val="white"/>
            </a:solidFill>
            <a:ln w="1">
              <a:solidFill>
                <a:prstClr val="green"/>
              </a:solidFill>
            </a:ln>
          </xdr:spPr>
          <xdr:txBody>
            <a:bodyPr vertOverflow="clip" horzOverflow="clip"/>
            <a:lstStyle/>
            <a:p>
              <a:r>
                <a:rPr lang="es-CL"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vantaz-my.sharepoint.com/personal/mgajardo_vantaz_com/Documents/Documentos/Paquetizaci&#243;n%20SSO/Fatiga%20&amp;%20Somnolencia/FRMS_Herramienta_Evaluacion_v3.xlsx" TargetMode="External"/><Relationship Id="rId1" Type="http://schemas.openxmlformats.org/officeDocument/2006/relationships/externalLinkPath" Target="FRMS_Herramienta_Evaluacion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 Configuration"/>
      <sheetName val="02 FRMS Architecture"/>
      <sheetName val="03 Evaluation Matrix"/>
      <sheetName val="04 Evidence"/>
      <sheetName val="05 Critical Controls"/>
      <sheetName val="06 Indicators"/>
      <sheetName val="07 Calculations"/>
      <sheetName val="08 Executive Dashboard"/>
      <sheetName val="09 Heat Map"/>
      <sheetName val="10 Gaps"/>
      <sheetName val="11 Action Plan"/>
      <sheetName val="12 Benchmark"/>
      <sheetName val="13 Executive Report"/>
      <sheetName val="A1 Traceability"/>
      <sheetName val="A2 Field Guide"/>
      <sheetName val="A3 Validation"/>
      <sheetName val="A4 Data Dictionary"/>
      <sheetName val="A5 User Guide"/>
    </sheetNames>
    <sheetDataSet>
      <sheetData sheetId="0">
        <row r="5">
          <cell r="N5" t="str">
            <v>Fatiga</v>
          </cell>
          <cell r="AB5" t="str">
            <v>D01</v>
          </cell>
        </row>
        <row r="6">
          <cell r="N6" t="str">
            <v>Somnolencia</v>
          </cell>
          <cell r="AB6" t="str">
            <v>D02</v>
          </cell>
        </row>
        <row r="7">
          <cell r="N7" t="str">
            <v>Ambos</v>
          </cell>
          <cell r="AB7" t="str">
            <v>D03</v>
          </cell>
        </row>
        <row r="8">
          <cell r="AB8" t="str">
            <v>D04</v>
          </cell>
        </row>
        <row r="9">
          <cell r="AB9" t="str">
            <v>D05</v>
          </cell>
        </row>
        <row r="10">
          <cell r="AB10" t="str">
            <v>D06</v>
          </cell>
        </row>
        <row r="11">
          <cell r="AB11" t="str">
            <v>D07</v>
          </cell>
        </row>
        <row r="12">
          <cell r="AB12" t="str">
            <v>D08</v>
          </cell>
        </row>
        <row r="13">
          <cell r="AB13" t="str">
            <v>D09</v>
          </cell>
        </row>
        <row r="14">
          <cell r="AB14" t="str">
            <v>D10</v>
          </cell>
        </row>
        <row r="15">
          <cell r="AB15" t="str">
            <v>D11</v>
          </cell>
        </row>
        <row r="61">
          <cell r="B61" t="str">
            <v>Design</v>
          </cell>
        </row>
        <row r="62">
          <cell r="B62" t="str">
            <v>Implementation</v>
          </cell>
        </row>
        <row r="63">
          <cell r="B63" t="str">
            <v>Functioning</v>
          </cell>
        </row>
        <row r="64">
          <cell r="B64" t="str">
            <v>Verification</v>
          </cell>
        </row>
        <row r="65">
          <cell r="B65" t="str">
            <v>Effectiveness</v>
          </cell>
        </row>
        <row r="66">
          <cell r="B66" t="str">
            <v>Resilience</v>
          </cell>
        </row>
        <row r="72">
          <cell r="B72" t="str">
            <v>Fatal</v>
          </cell>
          <cell r="F72" t="str">
            <v>Crítico</v>
          </cell>
        </row>
        <row r="73">
          <cell r="B73" t="str">
            <v>Grave</v>
          </cell>
          <cell r="F73" t="str">
            <v>Soporte</v>
          </cell>
        </row>
        <row r="74">
          <cell r="B74" t="str">
            <v>Moderado</v>
          </cell>
          <cell r="F74" t="str">
            <v>Administrativo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Picture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4D107C-F0E5-4349-80D0-189D687A1BD1}">
  <we:reference id="WA200010725" version="1.0.0.1" store="Omex" storeType="OMEX"/>
  <we:alternateReferences>
    <we:reference id="WA200010725" version="1.0.0.1" store="WA200010725" storeType="OMEX"/>
  </we:alternateReferences>
  <we:properties>
    <we:property name="claude.fileId" value="&quot;5e558322-0be8-45d5-bfd1-7ddf601ebd1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56866"/>
  </sheetPr>
  <dimension ref="A1:Z78"/>
  <sheetViews>
    <sheetView showGridLines="0" tabSelected="1" zoomScale="70" zoomScaleNormal="70" workbookViewId="0">
      <pane ySplit="4" topLeftCell="A11" activePane="bottomLeft" state="frozen"/>
      <selection pane="bottomLeft" activeCell="L16" sqref="L16"/>
    </sheetView>
  </sheetViews>
  <sheetFormatPr baseColWidth="10" defaultColWidth="0" defaultRowHeight="14.5" zeroHeight="1"/>
  <cols>
    <col min="1" max="1" width="2.7265625" style="12" customWidth="1"/>
    <col min="2" max="2" width="23" style="12" customWidth="1"/>
    <col min="3" max="3" width="24" style="12" customWidth="1"/>
    <col min="4" max="4" width="11.90625" style="12" customWidth="1"/>
    <col min="5" max="5" width="10" style="12" customWidth="1"/>
    <col min="6" max="6" width="2.7265625" style="12" customWidth="1"/>
    <col min="7" max="7" width="30" style="12" customWidth="1"/>
    <col min="8" max="8" width="10" style="12" customWidth="1"/>
    <col min="9" max="9" width="2" style="12" customWidth="1"/>
    <col min="10" max="10" width="15" style="12" customWidth="1"/>
    <col min="11" max="11" width="12" style="12" customWidth="1"/>
    <col min="12" max="12" width="4" style="12" customWidth="1"/>
    <col min="13" max="14" width="15.90625" style="12" customWidth="1"/>
    <col min="15" max="15" width="2.7265625" style="12" customWidth="1"/>
    <col min="16" max="16384" width="8.6328125" style="12" hidden="1"/>
  </cols>
  <sheetData>
    <row r="1" spans="1:15">
      <c r="A1" s="20"/>
      <c r="B1" s="20"/>
      <c r="C1" s="20"/>
      <c r="D1" s="20"/>
      <c r="E1" s="20"/>
      <c r="F1" s="20"/>
      <c r="G1" s="20"/>
      <c r="H1" s="20"/>
      <c r="I1" s="20"/>
      <c r="J1" s="20"/>
      <c r="K1" s="20"/>
      <c r="L1" s="20"/>
      <c r="M1" s="20"/>
      <c r="N1" s="20"/>
      <c r="O1" s="20"/>
    </row>
    <row r="2" spans="1:15" ht="44" customHeight="1">
      <c r="A2" s="20"/>
      <c r="B2" s="24" t="e" vm="1">
        <v>#VALUE!</v>
      </c>
      <c r="C2" s="235" t="s">
        <v>1462</v>
      </c>
      <c r="D2" s="235"/>
      <c r="E2" s="235"/>
      <c r="F2" s="235"/>
      <c r="G2" s="235"/>
      <c r="H2" s="235"/>
      <c r="I2" s="235"/>
      <c r="J2" s="235"/>
      <c r="K2" s="235"/>
      <c r="L2" s="235"/>
      <c r="M2" s="235"/>
      <c r="N2" s="235"/>
      <c r="O2" s="20"/>
    </row>
    <row r="3" spans="1:15" ht="18" customHeight="1">
      <c r="A3" s="20"/>
      <c r="B3" s="238" t="s">
        <v>0</v>
      </c>
      <c r="C3" s="238"/>
      <c r="D3" s="238"/>
      <c r="E3" s="238"/>
      <c r="F3" s="238"/>
      <c r="G3" s="238"/>
      <c r="H3" s="238"/>
      <c r="I3" s="238"/>
      <c r="J3" s="238"/>
      <c r="K3" s="238"/>
      <c r="L3" s="238"/>
      <c r="M3" s="238"/>
      <c r="N3" s="238"/>
      <c r="O3" s="20"/>
    </row>
    <row r="4" spans="1:15">
      <c r="A4" s="20"/>
      <c r="B4" s="20"/>
      <c r="C4" s="20"/>
      <c r="D4" s="20"/>
      <c r="E4" s="20"/>
      <c r="F4" s="20"/>
      <c r="G4" s="20"/>
      <c r="H4" s="20"/>
      <c r="I4" s="20"/>
      <c r="J4" s="20"/>
      <c r="K4" s="20"/>
      <c r="L4" s="20"/>
      <c r="M4" s="20"/>
      <c r="N4" s="20"/>
      <c r="O4" s="20"/>
    </row>
    <row r="5" spans="1:15">
      <c r="A5" s="20"/>
      <c r="B5" s="22" t="s">
        <v>1</v>
      </c>
      <c r="C5" s="13"/>
      <c r="D5" s="13"/>
      <c r="E5" s="13"/>
      <c r="F5" s="13"/>
      <c r="G5" s="13"/>
      <c r="H5" s="13"/>
      <c r="I5" s="13"/>
      <c r="J5" s="13"/>
      <c r="K5" s="13"/>
      <c r="L5" s="13"/>
      <c r="M5" s="13"/>
      <c r="N5" s="13"/>
      <c r="O5" s="20"/>
    </row>
    <row r="6" spans="1:15" ht="18" customHeight="1">
      <c r="A6" s="20"/>
      <c r="B6" s="21" t="s">
        <v>2</v>
      </c>
      <c r="C6" s="239"/>
      <c r="D6" s="239"/>
      <c r="E6" s="239"/>
      <c r="F6" s="239"/>
      <c r="G6" s="239"/>
      <c r="H6" s="239"/>
      <c r="I6" s="239"/>
      <c r="J6" s="239"/>
      <c r="K6" s="239"/>
      <c r="L6" s="239"/>
      <c r="M6" s="239"/>
      <c r="N6" s="239"/>
      <c r="O6" s="20"/>
    </row>
    <row r="7" spans="1:15" ht="18" customHeight="1">
      <c r="A7" s="20"/>
      <c r="B7" s="21" t="s">
        <v>3</v>
      </c>
      <c r="C7" s="239"/>
      <c r="D7" s="239"/>
      <c r="E7" s="239"/>
      <c r="F7" s="239"/>
      <c r="G7" s="239"/>
      <c r="H7" s="239"/>
      <c r="I7" s="239"/>
      <c r="J7" s="239"/>
      <c r="K7" s="239"/>
      <c r="L7" s="239"/>
      <c r="M7" s="239"/>
      <c r="N7" s="239"/>
      <c r="O7" s="20"/>
    </row>
    <row r="8" spans="1:15" ht="18" customHeight="1">
      <c r="A8" s="20"/>
      <c r="B8" s="21" t="s">
        <v>4</v>
      </c>
      <c r="C8" s="239"/>
      <c r="D8" s="239"/>
      <c r="E8" s="239"/>
      <c r="F8" s="239"/>
      <c r="G8" s="239"/>
      <c r="H8" s="239"/>
      <c r="I8" s="239"/>
      <c r="J8" s="239"/>
      <c r="K8" s="239"/>
      <c r="L8" s="239"/>
      <c r="M8" s="239"/>
      <c r="N8" s="239"/>
      <c r="O8" s="20"/>
    </row>
    <row r="9" spans="1:15" ht="18" customHeight="1">
      <c r="A9" s="20"/>
      <c r="B9" s="21" t="s">
        <v>5</v>
      </c>
      <c r="C9" s="239"/>
      <c r="D9" s="239"/>
      <c r="E9" s="239"/>
      <c r="F9" s="239"/>
      <c r="G9" s="239"/>
      <c r="H9" s="239"/>
      <c r="I9" s="239"/>
      <c r="J9" s="239"/>
      <c r="K9" s="239"/>
      <c r="L9" s="239"/>
      <c r="M9" s="239"/>
      <c r="N9" s="239"/>
      <c r="O9" s="20"/>
    </row>
    <row r="10" spans="1:15">
      <c r="A10" s="20"/>
      <c r="B10" s="20"/>
      <c r="C10" s="20"/>
      <c r="D10" s="20"/>
      <c r="E10" s="20"/>
      <c r="F10" s="20"/>
      <c r="G10" s="20"/>
      <c r="H10" s="20"/>
      <c r="I10" s="20"/>
      <c r="J10" s="20"/>
      <c r="K10" s="20"/>
      <c r="L10" s="20"/>
      <c r="M10" s="20"/>
      <c r="N10" s="20"/>
      <c r="O10" s="20"/>
    </row>
    <row r="11" spans="1:15" ht="44" customHeight="1">
      <c r="A11" s="20"/>
      <c r="B11" s="26" t="s">
        <v>6</v>
      </c>
      <c r="C11" s="240" t="s">
        <v>1477</v>
      </c>
      <c r="D11" s="240"/>
      <c r="E11" s="240"/>
      <c r="F11" s="240"/>
      <c r="G11" s="240"/>
      <c r="H11" s="240"/>
      <c r="I11" s="240"/>
      <c r="J11" s="240"/>
      <c r="K11" s="240"/>
      <c r="L11" s="240"/>
      <c r="M11" s="240"/>
      <c r="N11" s="240"/>
      <c r="O11" s="20"/>
    </row>
    <row r="12" spans="1:15" ht="4.5" customHeight="1">
      <c r="A12" s="20"/>
      <c r="B12" s="27"/>
      <c r="C12" s="27"/>
      <c r="D12" s="27"/>
      <c r="E12" s="27"/>
      <c r="F12" s="27"/>
      <c r="G12" s="27"/>
      <c r="H12" s="27"/>
      <c r="I12" s="27"/>
      <c r="J12" s="27"/>
      <c r="K12" s="27"/>
      <c r="L12" s="27"/>
      <c r="M12" s="27"/>
      <c r="N12" s="27"/>
      <c r="O12" s="20"/>
    </row>
    <row r="13" spans="1:15" ht="30.5" customHeight="1">
      <c r="A13" s="20"/>
      <c r="B13" s="26" t="s">
        <v>7</v>
      </c>
      <c r="C13" s="240" t="s">
        <v>1479</v>
      </c>
      <c r="D13" s="240"/>
      <c r="E13" s="240"/>
      <c r="F13" s="240"/>
      <c r="G13" s="240"/>
      <c r="H13" s="240"/>
      <c r="I13" s="240"/>
      <c r="J13" s="240"/>
      <c r="K13" s="240"/>
      <c r="L13" s="240"/>
      <c r="M13" s="240"/>
      <c r="N13" s="240"/>
      <c r="O13" s="20"/>
    </row>
    <row r="14" spans="1:15" ht="4.5" customHeight="1">
      <c r="A14" s="20"/>
      <c r="B14" s="27"/>
      <c r="C14" s="27"/>
      <c r="D14" s="27"/>
      <c r="E14" s="27"/>
      <c r="F14" s="27"/>
      <c r="G14" s="27"/>
      <c r="H14" s="27"/>
      <c r="I14" s="27"/>
      <c r="J14" s="27"/>
      <c r="K14" s="27"/>
      <c r="L14" s="27"/>
      <c r="M14" s="27"/>
      <c r="N14" s="27"/>
      <c r="O14" s="20"/>
    </row>
    <row r="15" spans="1:15" ht="30" customHeight="1">
      <c r="A15" s="20"/>
      <c r="B15" s="26" t="s">
        <v>8</v>
      </c>
      <c r="C15" s="240" t="s">
        <v>1478</v>
      </c>
      <c r="D15" s="240"/>
      <c r="E15" s="240"/>
      <c r="F15" s="240"/>
      <c r="G15" s="240"/>
      <c r="H15" s="240"/>
      <c r="I15" s="240"/>
      <c r="J15" s="240"/>
      <c r="K15" s="240"/>
      <c r="L15" s="240"/>
      <c r="M15" s="240"/>
      <c r="N15" s="240"/>
      <c r="O15" s="20"/>
    </row>
    <row r="16" spans="1:15">
      <c r="A16" s="20"/>
      <c r="B16" s="20"/>
      <c r="C16" s="20"/>
      <c r="D16" s="20"/>
      <c r="E16" s="20"/>
      <c r="F16" s="20"/>
      <c r="G16" s="20"/>
      <c r="H16" s="20"/>
      <c r="I16" s="20"/>
      <c r="J16" s="20"/>
      <c r="K16" s="20"/>
      <c r="L16" s="20"/>
      <c r="M16" s="20"/>
      <c r="N16" s="20"/>
      <c r="O16" s="20"/>
    </row>
    <row r="17" spans="1:15" ht="15" customHeight="1">
      <c r="A17" s="20"/>
      <c r="B17" s="22" t="s">
        <v>9</v>
      </c>
      <c r="C17" s="13"/>
      <c r="D17" s="13"/>
      <c r="E17" s="13"/>
      <c r="F17" s="13"/>
      <c r="G17" s="13"/>
      <c r="H17" s="13"/>
      <c r="I17" s="13"/>
      <c r="J17" s="13"/>
      <c r="K17" s="13"/>
      <c r="L17" s="20"/>
      <c r="M17" s="241" t="s">
        <v>10</v>
      </c>
      <c r="N17" s="241"/>
      <c r="O17" s="20"/>
    </row>
    <row r="18" spans="1:15" ht="40.5" customHeight="1">
      <c r="A18" s="20"/>
      <c r="B18" s="237" t="s">
        <v>11</v>
      </c>
      <c r="C18" s="237"/>
      <c r="D18" s="237"/>
      <c r="E18" s="237"/>
      <c r="F18" s="237"/>
      <c r="G18" s="237"/>
      <c r="H18" s="237"/>
      <c r="I18" s="237"/>
      <c r="J18" s="237"/>
      <c r="K18" s="237"/>
      <c r="L18" s="20"/>
      <c r="M18" s="241"/>
      <c r="N18" s="241"/>
      <c r="O18" s="20"/>
    </row>
    <row r="19" spans="1:15" ht="40.5" customHeight="1">
      <c r="A19" s="20"/>
      <c r="B19" s="237" t="s">
        <v>1495</v>
      </c>
      <c r="C19" s="237"/>
      <c r="D19" s="237"/>
      <c r="E19" s="237"/>
      <c r="F19" s="237"/>
      <c r="G19" s="237"/>
      <c r="H19" s="237"/>
      <c r="I19" s="237"/>
      <c r="J19" s="237"/>
      <c r="K19" s="237"/>
      <c r="L19" s="20"/>
      <c r="M19" s="15" t="s">
        <v>12</v>
      </c>
      <c r="N19" s="15" t="s">
        <v>13</v>
      </c>
      <c r="O19" s="20"/>
    </row>
    <row r="20" spans="1:15" ht="40.5" customHeight="1">
      <c r="A20" s="20"/>
      <c r="B20" s="237" t="s">
        <v>1496</v>
      </c>
      <c r="C20" s="237"/>
      <c r="D20" s="237"/>
      <c r="E20" s="237"/>
      <c r="F20" s="237"/>
      <c r="G20" s="237"/>
      <c r="H20" s="237"/>
      <c r="I20" s="237"/>
      <c r="J20" s="237"/>
      <c r="K20" s="237"/>
      <c r="L20" s="20"/>
      <c r="M20" s="16" t="s">
        <v>14</v>
      </c>
      <c r="N20" s="16" t="s">
        <v>15</v>
      </c>
      <c r="O20" s="20"/>
    </row>
    <row r="21" spans="1:15" ht="40.5" customHeight="1">
      <c r="A21" s="20"/>
      <c r="B21" s="237" t="s">
        <v>1497</v>
      </c>
      <c r="C21" s="237"/>
      <c r="D21" s="237"/>
      <c r="E21" s="237"/>
      <c r="F21" s="237"/>
      <c r="G21" s="237"/>
      <c r="H21" s="237"/>
      <c r="I21" s="237"/>
      <c r="J21" s="237"/>
      <c r="K21" s="237"/>
      <c r="L21" s="20"/>
      <c r="M21" s="17" t="s">
        <v>16</v>
      </c>
      <c r="N21" s="17" t="s">
        <v>17</v>
      </c>
      <c r="O21" s="20"/>
    </row>
    <row r="22" spans="1:15" ht="40.5" customHeight="1">
      <c r="A22" s="20"/>
      <c r="B22" s="237" t="s">
        <v>1498</v>
      </c>
      <c r="C22" s="237"/>
      <c r="D22" s="237"/>
      <c r="E22" s="237"/>
      <c r="F22" s="237"/>
      <c r="G22" s="237"/>
      <c r="H22" s="237"/>
      <c r="I22" s="237"/>
      <c r="J22" s="237"/>
      <c r="K22" s="237"/>
      <c r="L22" s="20"/>
      <c r="M22" s="18" t="s">
        <v>18</v>
      </c>
      <c r="N22" s="18" t="s">
        <v>19</v>
      </c>
      <c r="O22" s="20"/>
    </row>
    <row r="23" spans="1:15" ht="40.5" customHeight="1">
      <c r="A23" s="20"/>
      <c r="B23" s="237" t="s">
        <v>1499</v>
      </c>
      <c r="C23" s="237"/>
      <c r="D23" s="237"/>
      <c r="E23" s="237"/>
      <c r="F23" s="237"/>
      <c r="G23" s="237"/>
      <c r="H23" s="237"/>
      <c r="I23" s="237"/>
      <c r="J23" s="237"/>
      <c r="K23" s="237"/>
      <c r="L23" s="20"/>
      <c r="M23" s="19" t="s">
        <v>21</v>
      </c>
      <c r="N23" s="19" t="s">
        <v>22</v>
      </c>
      <c r="O23" s="20"/>
    </row>
    <row r="24" spans="1:15" ht="40.5" customHeight="1">
      <c r="A24" s="20"/>
      <c r="B24" s="237" t="s">
        <v>1500</v>
      </c>
      <c r="C24" s="237"/>
      <c r="D24" s="237"/>
      <c r="E24" s="237"/>
      <c r="F24" s="237"/>
      <c r="G24" s="237"/>
      <c r="H24" s="237"/>
      <c r="I24" s="237"/>
      <c r="J24" s="237"/>
      <c r="K24" s="237"/>
      <c r="L24" s="20"/>
      <c r="M24" s="20"/>
      <c r="N24" s="20"/>
      <c r="O24" s="20"/>
    </row>
    <row r="25" spans="1:15" ht="20" customHeight="1">
      <c r="A25" s="20"/>
      <c r="B25" s="237" t="s">
        <v>20</v>
      </c>
      <c r="C25" s="237"/>
      <c r="D25" s="237"/>
      <c r="E25" s="237"/>
      <c r="F25" s="237"/>
      <c r="G25" s="237"/>
      <c r="H25" s="237"/>
      <c r="I25" s="237"/>
      <c r="J25" s="237"/>
      <c r="K25" s="237"/>
      <c r="L25" s="20"/>
      <c r="M25" s="20"/>
      <c r="N25" s="20"/>
      <c r="O25" s="20"/>
    </row>
    <row r="26" spans="1:15">
      <c r="A26" s="20"/>
      <c r="B26" s="20"/>
      <c r="C26" s="20"/>
      <c r="D26" s="20"/>
      <c r="E26" s="20"/>
      <c r="F26" s="20"/>
      <c r="G26" s="20"/>
      <c r="H26" s="20"/>
      <c r="I26" s="20"/>
      <c r="J26" s="20"/>
      <c r="K26" s="20"/>
      <c r="L26" s="20"/>
      <c r="M26" s="20"/>
      <c r="N26" s="20"/>
      <c r="O26" s="20"/>
    </row>
    <row r="27" spans="1:15">
      <c r="A27" s="20"/>
      <c r="B27" s="22" t="s">
        <v>23</v>
      </c>
      <c r="C27" s="22"/>
      <c r="D27" s="22"/>
      <c r="E27" s="22"/>
      <c r="F27" s="22"/>
      <c r="G27" s="22"/>
      <c r="H27" s="22"/>
      <c r="I27" s="22"/>
      <c r="J27" s="22"/>
      <c r="K27" s="22"/>
      <c r="L27" s="22"/>
      <c r="M27" s="22"/>
      <c r="N27" s="22"/>
      <c r="O27" s="20"/>
    </row>
    <row r="28" spans="1:15" ht="18" customHeight="1">
      <c r="A28" s="20"/>
      <c r="B28" s="23" t="s">
        <v>24</v>
      </c>
      <c r="C28" s="234" t="s">
        <v>25</v>
      </c>
      <c r="D28" s="234"/>
      <c r="E28" s="234"/>
      <c r="F28" s="234"/>
      <c r="G28" s="234"/>
      <c r="H28" s="234"/>
      <c r="I28" s="234"/>
      <c r="J28" s="234"/>
      <c r="K28" s="234"/>
      <c r="L28" s="234"/>
      <c r="M28" s="234"/>
      <c r="N28" s="234"/>
      <c r="O28" s="20"/>
    </row>
    <row r="29" spans="1:15" ht="18" customHeight="1">
      <c r="A29" s="20"/>
      <c r="B29" s="23" t="s">
        <v>26</v>
      </c>
      <c r="C29" s="234" t="s">
        <v>56</v>
      </c>
      <c r="D29" s="234"/>
      <c r="E29" s="234"/>
      <c r="F29" s="234"/>
      <c r="G29" s="234"/>
      <c r="H29" s="234"/>
      <c r="I29" s="234"/>
      <c r="J29" s="234"/>
      <c r="K29" s="234"/>
      <c r="L29" s="234"/>
      <c r="M29" s="234"/>
      <c r="N29" s="234"/>
      <c r="O29" s="20"/>
    </row>
    <row r="30" spans="1:15" ht="18" customHeight="1">
      <c r="A30" s="20"/>
      <c r="B30" s="23" t="s">
        <v>27</v>
      </c>
      <c r="C30" s="234" t="s">
        <v>28</v>
      </c>
      <c r="D30" s="234"/>
      <c r="E30" s="234"/>
      <c r="F30" s="234"/>
      <c r="G30" s="234"/>
      <c r="H30" s="234"/>
      <c r="I30" s="234"/>
      <c r="J30" s="234"/>
      <c r="K30" s="234"/>
      <c r="L30" s="234"/>
      <c r="M30" s="234"/>
      <c r="N30" s="234"/>
      <c r="O30" s="20"/>
    </row>
    <row r="31" spans="1:15" ht="18" customHeight="1">
      <c r="A31" s="20"/>
      <c r="B31" s="23" t="s">
        <v>29</v>
      </c>
      <c r="C31" s="234" t="s">
        <v>30</v>
      </c>
      <c r="D31" s="234"/>
      <c r="E31" s="234"/>
      <c r="F31" s="234"/>
      <c r="G31" s="234"/>
      <c r="H31" s="234"/>
      <c r="I31" s="234"/>
      <c r="J31" s="234"/>
      <c r="K31" s="234"/>
      <c r="L31" s="234"/>
      <c r="M31" s="234"/>
      <c r="N31" s="234"/>
      <c r="O31" s="20"/>
    </row>
    <row r="32" spans="1:15" ht="18" customHeight="1">
      <c r="A32" s="20"/>
      <c r="B32" s="23" t="s">
        <v>31</v>
      </c>
      <c r="C32" s="234" t="s">
        <v>32</v>
      </c>
      <c r="D32" s="234"/>
      <c r="E32" s="234"/>
      <c r="F32" s="234"/>
      <c r="G32" s="234"/>
      <c r="H32" s="234"/>
      <c r="I32" s="234"/>
      <c r="J32" s="234"/>
      <c r="K32" s="234"/>
      <c r="L32" s="234"/>
      <c r="M32" s="234"/>
      <c r="N32" s="234"/>
      <c r="O32" s="20"/>
    </row>
    <row r="33" spans="1:26">
      <c r="A33" s="20"/>
      <c r="B33" s="20"/>
      <c r="C33" s="20"/>
      <c r="D33" s="20"/>
      <c r="E33" s="20"/>
      <c r="F33" s="20"/>
      <c r="G33" s="20"/>
      <c r="H33" s="20"/>
      <c r="I33" s="20"/>
      <c r="J33" s="20"/>
      <c r="K33" s="20"/>
      <c r="L33" s="20"/>
      <c r="M33" s="20"/>
      <c r="N33" s="20"/>
      <c r="O33" s="20"/>
      <c r="Q33" s="389" t="s">
        <v>1494</v>
      </c>
      <c r="R33" s="379"/>
      <c r="S33" s="379"/>
      <c r="T33" s="379"/>
      <c r="U33" s="379"/>
      <c r="V33" s="379"/>
      <c r="W33" s="379"/>
      <c r="X33" s="379"/>
      <c r="Y33" s="379"/>
      <c r="Z33" s="379"/>
    </row>
    <row r="34" spans="1:26" ht="24" customHeight="1">
      <c r="A34" s="20"/>
      <c r="B34" s="235" t="s">
        <v>1463</v>
      </c>
      <c r="C34" s="235"/>
      <c r="D34" s="235"/>
      <c r="E34" s="235"/>
      <c r="F34" s="235"/>
      <c r="G34" s="235"/>
      <c r="H34" s="235"/>
      <c r="I34" s="235"/>
      <c r="J34" s="235"/>
      <c r="K34" s="235"/>
      <c r="L34" s="235"/>
      <c r="M34" s="235"/>
      <c r="N34" s="235"/>
      <c r="O34" s="20"/>
      <c r="Q34" s="379"/>
      <c r="R34" s="387">
        <v>1</v>
      </c>
      <c r="S34" s="387">
        <v>2</v>
      </c>
      <c r="T34" s="387">
        <v>3</v>
      </c>
      <c r="U34" s="387">
        <v>4</v>
      </c>
      <c r="V34" s="387">
        <v>5</v>
      </c>
      <c r="W34" s="379"/>
      <c r="X34" s="379"/>
      <c r="Y34" s="379"/>
      <c r="Z34" s="379"/>
    </row>
    <row r="35" spans="1:26" ht="23.9" customHeight="1">
      <c r="A35" s="20"/>
      <c r="B35" s="236" t="s">
        <v>33</v>
      </c>
      <c r="C35" s="236"/>
      <c r="D35" s="93" t="s">
        <v>1480</v>
      </c>
      <c r="E35" s="14" t="s">
        <v>34</v>
      </c>
      <c r="F35" s="20"/>
      <c r="G35" s="222" t="s">
        <v>35</v>
      </c>
      <c r="H35" s="222"/>
      <c r="I35" s="20"/>
      <c r="J35" s="222" t="s">
        <v>36</v>
      </c>
      <c r="K35" s="222"/>
      <c r="L35" s="222"/>
      <c r="M35" s="222" t="s">
        <v>37</v>
      </c>
      <c r="N35" s="222"/>
      <c r="O35" s="20"/>
      <c r="Q35" s="378" t="s">
        <v>46</v>
      </c>
      <c r="R35" s="378" t="str">
        <f>Escala!$I$21</f>
        <v>Inicial / Reactivo</v>
      </c>
      <c r="S35" s="378" t="str">
        <f>Escala!$I$22</f>
        <v>Dependiente</v>
      </c>
      <c r="T35" s="378" t="str">
        <f>Escala!$I$23</f>
        <v>Independiente</v>
      </c>
      <c r="U35" s="378" t="str">
        <f>Escala!$I$24</f>
        <v>Interdependiente</v>
      </c>
      <c r="V35" s="378" t="str">
        <f>Escala!$I$25</f>
        <v>Predictivo</v>
      </c>
      <c r="W35" s="378" t="s">
        <v>34</v>
      </c>
      <c r="X35" s="378" t="s">
        <v>1491</v>
      </c>
      <c r="Y35" s="378" t="s">
        <v>1483</v>
      </c>
      <c r="Z35" s="378" t="s">
        <v>1492</v>
      </c>
    </row>
    <row r="36" spans="1:26" ht="31.5" customHeight="1">
      <c r="A36" s="20"/>
      <c r="B36" s="79" t="s">
        <v>716</v>
      </c>
      <c r="C36" s="20"/>
      <c r="D36" s="374" t="s">
        <v>1481</v>
      </c>
      <c r="E36" s="25" t="str">
        <f>IF($D36="NO","No Aplica",IF(OR(COUNTIF(Preguntas!G5:G21,"EVA")&gt;0,COUNTBLANK(Preguntas!G5:G21)&gt;0),"EVA",AVERAGE(Preguntas!G5:G21)))</f>
        <v>EVA</v>
      </c>
      <c r="F36" s="20"/>
      <c r="G36" s="228" t="str">
        <f>IF(E36="No Aplica","No Aplica",IF(E36="EVA","POR EVALUAR",IF(E36&lt;=39%,"Inicial / Reactivo",IF(E36&lt;=59%,"Dependiente",IF(E36&lt;=79%,"Independiente",IF(E36&lt;=99%,"Interdependiente","Predictivo"))))))</f>
        <v>POR EVALUAR</v>
      </c>
      <c r="H36" s="229"/>
      <c r="I36" s="20"/>
      <c r="J36" s="230" t="str">
        <f>IF(COUNTIF(E36:E47,"*eva*")&gt;0,"EVALUAR",IF(COUNT(E36:E47)=0,"No Aplica",AVERAGE(E36:E47)))</f>
        <v>EVALUAR</v>
      </c>
      <c r="K36" s="230"/>
      <c r="L36" s="230"/>
      <c r="M36" s="231" t="str">
        <f>(128-COUNTIF(Preguntas!$F$5:$F$132,"EVA"))&amp;" / 128"</f>
        <v>0 / 128</v>
      </c>
      <c r="N36" s="231"/>
      <c r="O36" s="20"/>
      <c r="Q36" s="380" t="str">
        <f>B36</f>
        <v>D1. Gobernanza, organización y liderazgo</v>
      </c>
      <c r="R36" s="388" t="e">
        <f>IF($X36=R$34,$W36,NA())</f>
        <v>#N/A</v>
      </c>
      <c r="S36" s="388" t="e">
        <f>IF($X36=S$34,$W36,NA())</f>
        <v>#N/A</v>
      </c>
      <c r="T36" s="388" t="e">
        <f>IF($X36=T$34,$W36,NA())</f>
        <v>#N/A</v>
      </c>
      <c r="U36" s="388" t="e">
        <f>IF($X36=U$34,$W36,NA())</f>
        <v>#N/A</v>
      </c>
      <c r="V36" s="388" t="e">
        <f>IF($X36=V$34,$W36,NA())</f>
        <v>#N/A</v>
      </c>
      <c r="W36" s="388" t="str">
        <f>E36</f>
        <v>EVA</v>
      </c>
      <c r="X36" s="380" t="str">
        <f>IF(ISNUMBER(W36),COUNTIF(Escala!$J$21:$J$24,"&lt;"&amp;W36)+1,"")</f>
        <v/>
      </c>
      <c r="Y36" s="380" t="str" cm="1">
        <f t="array" ref="Y36">IF(X36="","",INDEX(Escala!$I$21:$I$25,X36))</f>
        <v/>
      </c>
      <c r="Z36" s="380" t="str">
        <f>IF(ISNUMBER(W36),TEXT(W36,"0%")&amp;" | "&amp;Y36,W36)</f>
        <v>EVA</v>
      </c>
    </row>
    <row r="37" spans="1:26" ht="31.5" customHeight="1">
      <c r="A37" s="20"/>
      <c r="B37" s="79" t="s">
        <v>717</v>
      </c>
      <c r="C37" s="20"/>
      <c r="D37" s="374" t="s">
        <v>1481</v>
      </c>
      <c r="E37" s="25" t="str">
        <f>IF($D37="NO","No Aplica",IF(OR(COUNTIF(Preguntas!G22:G32,"EVA")&gt;0,COUNTBLANK(Preguntas!G22:G32)&gt;0),"EVA",AVERAGE(Preguntas!G22:G32)))</f>
        <v>EVA</v>
      </c>
      <c r="F37" s="20"/>
      <c r="G37" s="232" t="str">
        <f>IF(E37="No Aplica","No Aplica",IF(E37="EVA","POR EVALUAR",IF(E37&lt;=39%,"Inicial / Reactivo",IF(E37&lt;=59%,"Dependiente",IF(E37&lt;=79%,"Independiente",IF(E37&lt;=99%,"Interdependiente","Predictivo"))))))</f>
        <v>POR EVALUAR</v>
      </c>
      <c r="H37" s="233"/>
      <c r="I37" s="20"/>
      <c r="J37" s="230"/>
      <c r="K37" s="230"/>
      <c r="L37" s="230"/>
      <c r="M37" s="231"/>
      <c r="N37" s="231"/>
      <c r="O37" s="20"/>
      <c r="Q37" s="380" t="str">
        <f>B37</f>
        <v>D.2 Gestión del riesgo de fatiga</v>
      </c>
      <c r="R37" s="388" t="e">
        <f>IF($X37=R$34,$W37,NA())</f>
        <v>#N/A</v>
      </c>
      <c r="S37" s="388" t="e">
        <f>IF($X37=S$34,$W37,NA())</f>
        <v>#N/A</v>
      </c>
      <c r="T37" s="388" t="e">
        <f>IF($X37=T$34,$W37,NA())</f>
        <v>#N/A</v>
      </c>
      <c r="U37" s="388" t="e">
        <f>IF($X37=U$34,$W37,NA())</f>
        <v>#N/A</v>
      </c>
      <c r="V37" s="388" t="e">
        <f>IF($X37=V$34,$W37,NA())</f>
        <v>#N/A</v>
      </c>
      <c r="W37" s="388" t="str">
        <f>E37</f>
        <v>EVA</v>
      </c>
      <c r="X37" s="380" t="str">
        <f>IF(ISNUMBER(W37),COUNTIF(Escala!$J$21:$J$24,"&lt;"&amp;W37)+1,"")</f>
        <v/>
      </c>
      <c r="Y37" s="380" t="str" cm="1">
        <f t="array" ref="Y37">IF(X37="","",INDEX(Escala!$I$21:$I$25,X37))</f>
        <v/>
      </c>
      <c r="Z37" s="380" t="str">
        <f>IF(ISNUMBER(W37),TEXT(W37,"0%")&amp;" | "&amp;Y37,W37)</f>
        <v>EVA</v>
      </c>
    </row>
    <row r="38" spans="1:26" ht="31.5" customHeight="1">
      <c r="A38" s="20"/>
      <c r="B38" s="79" t="s">
        <v>718</v>
      </c>
      <c r="C38" s="20"/>
      <c r="D38" s="374" t="s">
        <v>1481</v>
      </c>
      <c r="E38" s="25" t="str">
        <f>IF($D38="NO","No Aplica",IF(OR(COUNTIF(Preguntas!G33:G43,"EVA")&gt;0,COUNTBLANK(Preguntas!G33:G43)&gt;0),"EVA",AVERAGE(Preguntas!G33:G43)))</f>
        <v>EVA</v>
      </c>
      <c r="F38" s="20"/>
      <c r="G38" s="225" t="str">
        <f>IF(E38="No Aplica","No Aplica",IF(E38="EVA","POR EVALUAR",IF(E38&lt;=39%,"Inicial / Reactivo",IF(E38&lt;=59%,"Dependiente",IF(E38&lt;=79%,"Independiente",IF(E38&lt;=99%,"Interdependiente","Predictivo"))))))</f>
        <v>POR EVALUAR</v>
      </c>
      <c r="H38" s="226"/>
      <c r="I38" s="20"/>
      <c r="J38" s="222" t="s">
        <v>1482</v>
      </c>
      <c r="K38" s="222"/>
      <c r="L38" s="222"/>
      <c r="M38" s="222" t="s">
        <v>38</v>
      </c>
      <c r="N38" s="222"/>
      <c r="O38" s="20"/>
      <c r="Q38" s="380" t="str">
        <f>B38</f>
        <v>D.3 Diseño de turnos y jornadas</v>
      </c>
      <c r="R38" s="388" t="e">
        <f>IF($X38=R$34,$W38,NA())</f>
        <v>#N/A</v>
      </c>
      <c r="S38" s="388" t="e">
        <f>IF($X38=S$34,$W38,NA())</f>
        <v>#N/A</v>
      </c>
      <c r="T38" s="388" t="e">
        <f>IF($X38=T$34,$W38,NA())</f>
        <v>#N/A</v>
      </c>
      <c r="U38" s="388" t="e">
        <f>IF($X38=U$34,$W38,NA())</f>
        <v>#N/A</v>
      </c>
      <c r="V38" s="388" t="e">
        <f>IF($X38=V$34,$W38,NA())</f>
        <v>#N/A</v>
      </c>
      <c r="W38" s="388" t="str">
        <f>E38</f>
        <v>EVA</v>
      </c>
      <c r="X38" s="380" t="str">
        <f>IF(ISNUMBER(W38),COUNTIF(Escala!$J$21:$J$24,"&lt;"&amp;W38)+1,"")</f>
        <v/>
      </c>
      <c r="Y38" s="380" t="str" cm="1">
        <f t="array" ref="Y38">IF(X38="","",INDEX(Escala!$I$21:$I$25,X38))</f>
        <v/>
      </c>
      <c r="Z38" s="380" t="str">
        <f>IF(ISNUMBER(W38),TEXT(W38,"0%")&amp;" | "&amp;Y38,W38)</f>
        <v>EVA</v>
      </c>
    </row>
    <row r="39" spans="1:26" ht="31.5" customHeight="1">
      <c r="A39" s="20"/>
      <c r="B39" s="79" t="s">
        <v>719</v>
      </c>
      <c r="C39" s="20"/>
      <c r="D39" s="374" t="s">
        <v>1481</v>
      </c>
      <c r="E39" s="25" t="str">
        <f>IF($D39="NO","No Aplica",IF(OR(COUNTIF(Preguntas!G44:G60,"EVA")&gt;0,COUNTBLANK(Preguntas!G44:G60)&gt;0),"EVA",AVERAGE(Preguntas!G44:G60)))</f>
        <v>EVA</v>
      </c>
      <c r="F39" s="20"/>
      <c r="G39" s="225" t="str">
        <f>IF(E39="No Aplica","No Aplica",IF(E39="EVA","POR EVALUAR",IF(E39&lt;=39%,"Inicial / Reactivo",IF(E39&lt;=59%,"Dependiente",IF(E39&lt;=79%,"Independiente",IF(E39&lt;=99%,"Interdependiente","Predictivo"))))))</f>
        <v>POR EVALUAR</v>
      </c>
      <c r="H39" s="226"/>
      <c r="I39" s="20"/>
      <c r="J39" s="227" t="str">
        <f>(12-COUNTIF(D36:D47,"NO"))&amp;" / 12"</f>
        <v>12 / 12</v>
      </c>
      <c r="K39" s="227"/>
      <c r="L39" s="227"/>
      <c r="M39" s="227" t="str">
        <f>IF(COUNT($E$36:$E$47)&lt;MIN(4,COUNTIF($D$36:$D$47,"&lt;&gt;NO")),"POR EVALUAR",IF(COUNT($E$36:$E$47)=0,"No Aplica",IF(AVERAGE($E$36:$E$47)&lt;=39%,"Inicial / Reactivo",IF(AVERAGE($E$36:$E$47)&lt;=59%,"Dependiente",IF(AVERAGE($E$36:$E$47)&lt;=79%,"Independiente",IF(AVERAGE($E$36:$E$47)&lt;=99%,"Interdependiente","Predictivo"))))))</f>
        <v>POR EVALUAR</v>
      </c>
      <c r="N39" s="227"/>
      <c r="O39" s="20"/>
      <c r="Q39" s="380" t="str">
        <f>B39</f>
        <v>D.4 Gestión operacional de la fatiga</v>
      </c>
      <c r="R39" s="388" t="e">
        <f>IF($X39=R$34,$W39,NA())</f>
        <v>#N/A</v>
      </c>
      <c r="S39" s="388" t="e">
        <f>IF($X39=S$34,$W39,NA())</f>
        <v>#N/A</v>
      </c>
      <c r="T39" s="388" t="e">
        <f>IF($X39=T$34,$W39,NA())</f>
        <v>#N/A</v>
      </c>
      <c r="U39" s="388" t="e">
        <f>IF($X39=U$34,$W39,NA())</f>
        <v>#N/A</v>
      </c>
      <c r="V39" s="388" t="e">
        <f>IF($X39=V$34,$W39,NA())</f>
        <v>#N/A</v>
      </c>
      <c r="W39" s="388" t="str">
        <f>E39</f>
        <v>EVA</v>
      </c>
      <c r="X39" s="380" t="str">
        <f>IF(ISNUMBER(W39),COUNTIF(Escala!$J$21:$J$24,"&lt;"&amp;W39)+1,"")</f>
        <v/>
      </c>
      <c r="Y39" s="380" t="str" cm="1">
        <f t="array" ref="Y39">IF(X39="","",INDEX(Escala!$I$21:$I$25,X39))</f>
        <v/>
      </c>
      <c r="Z39" s="380" t="str">
        <f>IF(ISNUMBER(W39),TEXT(W39,"0%")&amp;" | "&amp;Y39,W39)</f>
        <v>EVA</v>
      </c>
    </row>
    <row r="40" spans="1:26" ht="31.5" customHeight="1">
      <c r="A40" s="20"/>
      <c r="B40" s="79" t="s">
        <v>720</v>
      </c>
      <c r="C40" s="20"/>
      <c r="D40" s="374" t="s">
        <v>1481</v>
      </c>
      <c r="E40" s="25" t="str">
        <f>IF($D40="NO","No Aplica",IF(OR(COUNTIF(Preguntas!G61:G72,"EVA")&gt;0,COUNTBLANK(Preguntas!G61:G72)&gt;0),"EVA",AVERAGE(Preguntas!G61:G72)))</f>
        <v>EVA</v>
      </c>
      <c r="F40" s="20"/>
      <c r="G40" s="225" t="str">
        <f>IF(E40="No Aplica","No Aplica",IF(E40="EVA","POR EVALUAR",IF(E40&lt;=39%,"Inicial / Reactivo",IF(E40&lt;=59%,"Dependiente",IF(E40&lt;=79%,"Independiente",IF(E40&lt;=99%,"Interdependiente","Predictivo"))))))</f>
        <v>POR EVALUAR</v>
      </c>
      <c r="H40" s="226"/>
      <c r="I40" s="20"/>
      <c r="J40" s="227"/>
      <c r="K40" s="227"/>
      <c r="L40" s="227"/>
      <c r="M40" s="227"/>
      <c r="N40" s="227"/>
      <c r="O40" s="20"/>
      <c r="Q40" s="380" t="str">
        <f>B40</f>
        <v>D.5 Gestión de la somnolencia</v>
      </c>
      <c r="R40" s="388" t="e">
        <f>IF($X40=R$34,$W40,NA())</f>
        <v>#N/A</v>
      </c>
      <c r="S40" s="388" t="e">
        <f>IF($X40=S$34,$W40,NA())</f>
        <v>#N/A</v>
      </c>
      <c r="T40" s="388" t="e">
        <f>IF($X40=T$34,$W40,NA())</f>
        <v>#N/A</v>
      </c>
      <c r="U40" s="388" t="e">
        <f>IF($X40=U$34,$W40,NA())</f>
        <v>#N/A</v>
      </c>
      <c r="V40" s="388" t="e">
        <f>IF($X40=V$34,$W40,NA())</f>
        <v>#N/A</v>
      </c>
      <c r="W40" s="388" t="str">
        <f>E40</f>
        <v>EVA</v>
      </c>
      <c r="X40" s="380" t="str">
        <f>IF(ISNUMBER(W40),COUNTIF(Escala!$J$21:$J$24,"&lt;"&amp;W40)+1,"")</f>
        <v/>
      </c>
      <c r="Y40" s="380" t="str" cm="1">
        <f t="array" ref="Y40">IF(X40="","",INDEX(Escala!$I$21:$I$25,X40))</f>
        <v/>
      </c>
      <c r="Z40" s="380" t="str">
        <f>IF(ISNUMBER(W40),TEXT(W40,"0%")&amp;" | "&amp;Y40,W40)</f>
        <v>EVA</v>
      </c>
    </row>
    <row r="41" spans="1:26" ht="31.5" customHeight="1">
      <c r="A41" s="20"/>
      <c r="B41" s="79" t="s">
        <v>721</v>
      </c>
      <c r="C41" s="20"/>
      <c r="D41" s="374" t="s">
        <v>1481</v>
      </c>
      <c r="E41" s="25" t="str">
        <f>IF($D41="NO","No Aplica",IF(OR(COUNTIF(Preguntas!G73:G78,"EVA")&gt;0,COUNTBLANK(Preguntas!G73:G78)&gt;0),"EVA",AVERAGE(Preguntas!G73:G78)))</f>
        <v>EVA</v>
      </c>
      <c r="F41" s="20"/>
      <c r="G41" s="225" t="str">
        <f>IF(E41="No Aplica","No Aplica",IF(E41="EVA","POR EVALUAR",IF(E41&lt;=39%,"Inicial / Reactivo",IF(E41&lt;=59%,"Dependiente",IF(E41&lt;=79%,"Independiente",IF(E41&lt;=99%,"Interdependiente","Predictivo"))))))</f>
        <v>POR EVALUAR</v>
      </c>
      <c r="H41" s="226"/>
      <c r="I41" s="20"/>
      <c r="J41" s="224" t="s">
        <v>39</v>
      </c>
      <c r="K41" s="224"/>
      <c r="L41" s="224"/>
      <c r="M41" s="224"/>
      <c r="N41" s="224"/>
      <c r="O41" s="20"/>
      <c r="Q41" s="380" t="str">
        <f>B41</f>
        <v>D.6 Salud ocupacional y trastornos del sueño</v>
      </c>
      <c r="R41" s="388" t="e">
        <f>IF($X41=R$34,$W41,NA())</f>
        <v>#N/A</v>
      </c>
      <c r="S41" s="388" t="e">
        <f>IF($X41=S$34,$W41,NA())</f>
        <v>#N/A</v>
      </c>
      <c r="T41" s="388" t="e">
        <f>IF($X41=T$34,$W41,NA())</f>
        <v>#N/A</v>
      </c>
      <c r="U41" s="388" t="e">
        <f>IF($X41=U$34,$W41,NA())</f>
        <v>#N/A</v>
      </c>
      <c r="V41" s="388" t="e">
        <f>IF($X41=V$34,$W41,NA())</f>
        <v>#N/A</v>
      </c>
      <c r="W41" s="388" t="str">
        <f>E41</f>
        <v>EVA</v>
      </c>
      <c r="X41" s="380" t="str">
        <f>IF(ISNUMBER(W41),COUNTIF(Escala!$J$21:$J$24,"&lt;"&amp;W41)+1,"")</f>
        <v/>
      </c>
      <c r="Y41" s="380" t="str" cm="1">
        <f t="array" ref="Y41">IF(X41="","",INDEX(Escala!$I$21:$I$25,X41))</f>
        <v/>
      </c>
      <c r="Z41" s="380" t="str">
        <f>IF(ISNUMBER(W41),TEXT(W41,"0%")&amp;" | "&amp;Y41,W41)</f>
        <v>EVA</v>
      </c>
    </row>
    <row r="42" spans="1:26" ht="31.5" customHeight="1">
      <c r="A42" s="20"/>
      <c r="B42" s="79" t="s">
        <v>722</v>
      </c>
      <c r="C42" s="20"/>
      <c r="D42" s="374" t="s">
        <v>1481</v>
      </c>
      <c r="E42" s="25" t="str">
        <f>IF($D42="NO","No Aplica",IF(OR(COUNTIF(Preguntas!G79:G86,"EVA")&gt;0,COUNTBLANK(Preguntas!G79:G86)&gt;0),"EVA",AVERAGE(Preguntas!G79:G86)))</f>
        <v>EVA</v>
      </c>
      <c r="F42" s="20"/>
      <c r="G42" s="225" t="str">
        <f>IF(E42="No Aplica","No Aplica",IF(E42="EVA","POR EVALUAR",IF(E42&lt;=39%,"Inicial / Reactivo",IF(E42&lt;=59%,"Dependiente",IF(E42&lt;=79%,"Independiente",IF(E42&lt;=99%,"Interdependiente","Predictivo"))))))</f>
        <v>POR EVALUAR</v>
      </c>
      <c r="H42" s="226"/>
      <c r="I42" s="20"/>
      <c r="J42" s="221" t="str">
        <f>IF((20-COUNTIF(Preguntas!$F$5:$F$119,"EVA"))&lt;20,"Evaluación en curso: se han registrado "&amp;(20-COUNTIF(Preguntas!$F$5:$F$119,"EVA"))&amp;" de 20 respuestas. Complete las preguntas pendientes para consolidar el diagnóstico.","La evaluación presenta un cumplimiento global de "&amp;TEXT(AVERAGE($E$36:$E$47),"0%")&amp;". El componente más sólido es "&amp;INDEX($B$36:$B$47,MATCH(MAX($E$36:$E$47),$E$36:$E$47,0))&amp;" y la principal brecha está en "&amp;INDEX($B$36:$B$47,MATCH(MIN($E$36:$E$47),$E$36:$E$47,0))&amp;".")</f>
        <v>Evaluación en curso: se han registrado -95 de 20 respuestas. Complete las preguntas pendientes para consolidar el diagnóstico.</v>
      </c>
      <c r="K42" s="221"/>
      <c r="L42" s="221"/>
      <c r="M42" s="221"/>
      <c r="N42" s="221"/>
      <c r="O42" s="20"/>
      <c r="Q42" s="380" t="str">
        <f>B42</f>
        <v>D.7 Controles críticos</v>
      </c>
      <c r="R42" s="388" t="e">
        <f>IF($X42=R$34,$W42,NA())</f>
        <v>#N/A</v>
      </c>
      <c r="S42" s="388" t="e">
        <f>IF($X42=S$34,$W42,NA())</f>
        <v>#N/A</v>
      </c>
      <c r="T42" s="388" t="e">
        <f>IF($X42=T$34,$W42,NA())</f>
        <v>#N/A</v>
      </c>
      <c r="U42" s="388" t="e">
        <f>IF($X42=U$34,$W42,NA())</f>
        <v>#N/A</v>
      </c>
      <c r="V42" s="388" t="e">
        <f>IF($X42=V$34,$W42,NA())</f>
        <v>#N/A</v>
      </c>
      <c r="W42" s="388" t="str">
        <f>E42</f>
        <v>EVA</v>
      </c>
      <c r="X42" s="380" t="str">
        <f>IF(ISNUMBER(W42),COUNTIF(Escala!$J$21:$J$24,"&lt;"&amp;W42)+1,"")</f>
        <v/>
      </c>
      <c r="Y42" s="380" t="str" cm="1">
        <f t="array" ref="Y42">IF(X42="","",INDEX(Escala!$I$21:$I$25,X42))</f>
        <v/>
      </c>
      <c r="Z42" s="380" t="str">
        <f>IF(ISNUMBER(W42),TEXT(W42,"0%")&amp;" | "&amp;Y42,W42)</f>
        <v>EVA</v>
      </c>
    </row>
    <row r="43" spans="1:26" ht="31.5" customHeight="1">
      <c r="A43" s="20"/>
      <c r="B43" s="79" t="s">
        <v>723</v>
      </c>
      <c r="C43" s="20"/>
      <c r="D43" s="374" t="s">
        <v>1481</v>
      </c>
      <c r="E43" s="25" t="str">
        <f>IF($D43="NO","No Aplica",IF(OR(COUNTIF(Preguntas!G87:G93,"EVA")&gt;0,COUNTBLANK(Preguntas!G87:G93)&gt;0),"EVA",AVERAGE(Preguntas!G87:G93)))</f>
        <v>EVA</v>
      </c>
      <c r="F43" s="20"/>
      <c r="G43" s="225" t="str">
        <f>IF(E43="No Aplica","No Aplica",IF(E43="EVA","POR EVALUAR",IF(E43&lt;=39%,"Inicial / Reactivo",IF(E43&lt;=59%,"Dependiente",IF(E43&lt;=79%,"Independiente",IF(E43&lt;=99%,"Interdependiente","Predictivo"))))))</f>
        <v>POR EVALUAR</v>
      </c>
      <c r="H43" s="226"/>
      <c r="I43" s="20"/>
      <c r="J43" s="221"/>
      <c r="K43" s="221"/>
      <c r="L43" s="221"/>
      <c r="M43" s="221"/>
      <c r="N43" s="221"/>
      <c r="O43" s="20"/>
      <c r="Q43" s="380" t="str">
        <f>B43</f>
        <v>D.8 Tecnología y sistemas de monitoreo</v>
      </c>
      <c r="R43" s="388" t="e">
        <f>IF($X43=R$34,$W43,NA())</f>
        <v>#N/A</v>
      </c>
      <c r="S43" s="388" t="e">
        <f>IF($X43=S$34,$W43,NA())</f>
        <v>#N/A</v>
      </c>
      <c r="T43" s="388" t="e">
        <f>IF($X43=T$34,$W43,NA())</f>
        <v>#N/A</v>
      </c>
      <c r="U43" s="388" t="e">
        <f>IF($X43=U$34,$W43,NA())</f>
        <v>#N/A</v>
      </c>
      <c r="V43" s="388" t="e">
        <f>IF($X43=V$34,$W43,NA())</f>
        <v>#N/A</v>
      </c>
      <c r="W43" s="388" t="str">
        <f>E43</f>
        <v>EVA</v>
      </c>
      <c r="X43" s="380" t="str">
        <f>IF(ISNUMBER(W43),COUNTIF(Escala!$J$21:$J$24,"&lt;"&amp;W43)+1,"")</f>
        <v/>
      </c>
      <c r="Y43" s="380" t="str" cm="1">
        <f t="array" ref="Y43">IF(X43="","",INDEX(Escala!$I$21:$I$25,X43))</f>
        <v/>
      </c>
      <c r="Z43" s="380" t="str">
        <f>IF(ISNUMBER(W43),TEXT(W43,"0%")&amp;" | "&amp;Y43,W43)</f>
        <v>EVA</v>
      </c>
    </row>
    <row r="44" spans="1:26" ht="31.5" customHeight="1">
      <c r="A44" s="20"/>
      <c r="B44" s="79" t="s">
        <v>724</v>
      </c>
      <c r="C44" s="20"/>
      <c r="D44" s="374" t="s">
        <v>1481</v>
      </c>
      <c r="E44" s="25" t="str">
        <f>IF($D44="NO","No Aplica",IF(OR(COUNTIF(Preguntas!G94:G98,"EVA")&gt;0,COUNTBLANK(Preguntas!G94:G98)&gt;0),"EVA",AVERAGE(Preguntas!G94:G98)))</f>
        <v>EVA</v>
      </c>
      <c r="F44" s="20"/>
      <c r="G44" s="225" t="str">
        <f>IF(E44="No Aplica","No Aplica",IF(E44="EVA","POR EVALUAR",IF(E44&lt;=39%,"Inicial / Reactivo",IF(E44&lt;=59%,"Dependiente",IF(E44&lt;=79%,"Independiente",IF(E44&lt;=99%,"Interdependiente","Predictivo"))))))</f>
        <v>POR EVALUAR</v>
      </c>
      <c r="H44" s="226"/>
      <c r="I44" s="20"/>
      <c r="J44" s="222" t="s">
        <v>113</v>
      </c>
      <c r="K44" s="222"/>
      <c r="L44" s="222"/>
      <c r="M44" s="222"/>
      <c r="N44" s="222"/>
      <c r="O44" s="20"/>
      <c r="Q44" s="380" t="str">
        <f>B44</f>
        <v>D.9 Factores humanos y organizacionales</v>
      </c>
      <c r="R44" s="388" t="e">
        <f>IF($X44=R$34,$W44,NA())</f>
        <v>#N/A</v>
      </c>
      <c r="S44" s="388" t="e">
        <f>IF($X44=S$34,$W44,NA())</f>
        <v>#N/A</v>
      </c>
      <c r="T44" s="388" t="e">
        <f>IF($X44=T$34,$W44,NA())</f>
        <v>#N/A</v>
      </c>
      <c r="U44" s="388" t="e">
        <f>IF($X44=U$34,$W44,NA())</f>
        <v>#N/A</v>
      </c>
      <c r="V44" s="388" t="e">
        <f>IF($X44=V$34,$W44,NA())</f>
        <v>#N/A</v>
      </c>
      <c r="W44" s="388" t="str">
        <f>E44</f>
        <v>EVA</v>
      </c>
      <c r="X44" s="380" t="str">
        <f>IF(ISNUMBER(W44),COUNTIF(Escala!$J$21:$J$24,"&lt;"&amp;W44)+1,"")</f>
        <v/>
      </c>
      <c r="Y44" s="380" t="str" cm="1">
        <f t="array" ref="Y44">IF(X44="","",INDEX(Escala!$I$21:$I$25,X44))</f>
        <v/>
      </c>
      <c r="Z44" s="380" t="str">
        <f>IF(ISNUMBER(W44),TEXT(W44,"0%")&amp;" | "&amp;Y44,W44)</f>
        <v>EVA</v>
      </c>
    </row>
    <row r="45" spans="1:26" ht="31.5" customHeight="1">
      <c r="A45" s="20"/>
      <c r="B45" s="79" t="s">
        <v>725</v>
      </c>
      <c r="C45" s="20"/>
      <c r="D45" s="374" t="s">
        <v>1481</v>
      </c>
      <c r="E45" s="25" t="str">
        <f>IF($D45="NO","No Aplica",IF(OR(COUNTIF(Preguntas!G99:G111,"EVA")&gt;0,COUNTBLANK(Preguntas!G99:G111)&gt;0),"EVA",AVERAGE(Preguntas!G99:G111)))</f>
        <v>EVA</v>
      </c>
      <c r="F45" s="20"/>
      <c r="G45" s="225" t="str">
        <f>IF(E45="No Aplica","No Aplica",IF(E45="EVA","POR EVALUAR",IF(E45&lt;=39%,"Inicial / Reactivo",IF(E45&lt;=59%,"Dependiente",IF(E45&lt;=79%,"Independiente",IF(E45&lt;=99%,"Interdependiente","Predictivo"))))))</f>
        <v>POR EVALUAR</v>
      </c>
      <c r="H45" s="226"/>
      <c r="I45" s="20"/>
      <c r="J45" s="221" t="str">
        <f>IF((20-COUNTIF(Preguntas!$F$5:$F$119,"EVA"))&lt;20,"Finalice primero las respuestas pendientes; los resultados actuales son preliminares.",IF(MAX($E$36:$E$47)=MIN($E$36:$E$47),"Todos los componentes tienen el mismo resultado ("&amp;TEXT(AVERAGE($E$36:$E$47),"0%")&amp;").",INDEX($B$36:$B$47,MATCH(MIN($E$36:$E$47),$E$36:$E$47,0))&amp;" registra el menor cumplimiento ("&amp;TEXT(MIN($E$36:$E$47),"0%")&amp;"). Priorice un plan de acción para este componente."))</f>
        <v>Finalice primero las respuestas pendientes; los resultados actuales son preliminares.</v>
      </c>
      <c r="K45" s="221"/>
      <c r="L45" s="221"/>
      <c r="M45" s="221"/>
      <c r="N45" s="221"/>
      <c r="O45" s="20"/>
      <c r="Q45" s="380" t="str">
        <f>B45</f>
        <v>D.10 Cultura de seguridad observable</v>
      </c>
      <c r="R45" s="388" t="e">
        <f>IF($X45=R$34,$W45,NA())</f>
        <v>#N/A</v>
      </c>
      <c r="S45" s="388" t="e">
        <f>IF($X45=S$34,$W45,NA())</f>
        <v>#N/A</v>
      </c>
      <c r="T45" s="388" t="e">
        <f>IF($X45=T$34,$W45,NA())</f>
        <v>#N/A</v>
      </c>
      <c r="U45" s="388" t="e">
        <f>IF($X45=U$34,$W45,NA())</f>
        <v>#N/A</v>
      </c>
      <c r="V45" s="388" t="e">
        <f>IF($X45=V$34,$W45,NA())</f>
        <v>#N/A</v>
      </c>
      <c r="W45" s="388" t="str">
        <f>E45</f>
        <v>EVA</v>
      </c>
      <c r="X45" s="380" t="str">
        <f>IF(ISNUMBER(W45),COUNTIF(Escala!$J$21:$J$24,"&lt;"&amp;W45)+1,"")</f>
        <v/>
      </c>
      <c r="Y45" s="380" t="str" cm="1">
        <f t="array" ref="Y45">IF(X45="","",INDEX(Escala!$I$21:$I$25,X45))</f>
        <v/>
      </c>
      <c r="Z45" s="380" t="str">
        <f>IF(ISNUMBER(W45),TEXT(W45,"0%")&amp;" | "&amp;Y45,W45)</f>
        <v>EVA</v>
      </c>
    </row>
    <row r="46" spans="1:26" ht="31.5" customHeight="1">
      <c r="A46" s="20"/>
      <c r="B46" s="79" t="s">
        <v>726</v>
      </c>
      <c r="C46" s="20"/>
      <c r="D46" s="374" t="s">
        <v>1481</v>
      </c>
      <c r="E46" s="25" t="str">
        <f>IF($D46="NO","No Aplica",IF(OR(COUNTIF(Preguntas!G112:G119,"EVA")&gt;0,COUNTBLANK(Preguntas!G112:G119)&gt;0),"EVA",AVERAGE(Preguntas!G112:G119)))</f>
        <v>EVA</v>
      </c>
      <c r="F46" s="20"/>
      <c r="G46" s="225" t="str">
        <f>IF(E46="No Aplica","No Aplica",IF(E46="EVA","POR EVALUAR",IF(E46&lt;=39%,"Inicial / Reactivo",IF(E46&lt;=59%,"Dependiente",IF(E46&lt;=79%,"Independiente",IF(E46&lt;=99%,"Interdependiente","Predictivo"))))))</f>
        <v>POR EVALUAR</v>
      </c>
      <c r="H46" s="226"/>
      <c r="I46" s="20"/>
      <c r="J46" s="221"/>
      <c r="K46" s="221"/>
      <c r="L46" s="221"/>
      <c r="M46" s="221"/>
      <c r="N46" s="221"/>
      <c r="O46" s="20"/>
      <c r="Q46" s="380" t="str">
        <f>B46</f>
        <v>D.11 Factores preventivos</v>
      </c>
      <c r="R46" s="388" t="e">
        <f>IF($X46=R$34,$W46,NA())</f>
        <v>#N/A</v>
      </c>
      <c r="S46" s="388" t="e">
        <f>IF($X46=S$34,$W46,NA())</f>
        <v>#N/A</v>
      </c>
      <c r="T46" s="388" t="e">
        <f>IF($X46=T$34,$W46,NA())</f>
        <v>#N/A</v>
      </c>
      <c r="U46" s="388" t="e">
        <f>IF($X46=U$34,$W46,NA())</f>
        <v>#N/A</v>
      </c>
      <c r="V46" s="388" t="e">
        <f>IF($X46=V$34,$W46,NA())</f>
        <v>#N/A</v>
      </c>
      <c r="W46" s="388" t="str">
        <f>E46</f>
        <v>EVA</v>
      </c>
      <c r="X46" s="380" t="str">
        <f>IF(ISNUMBER(W46),COUNTIF(Escala!$J$21:$J$24,"&lt;"&amp;W46)+1,"")</f>
        <v/>
      </c>
      <c r="Y46" s="380" t="str" cm="1">
        <f t="array" ref="Y46">IF(X46="","",INDEX(Escala!$I$21:$I$25,X46))</f>
        <v/>
      </c>
      <c r="Z46" s="380" t="str">
        <f>IF(ISNUMBER(W46),TEXT(W46,"0%")&amp;" | "&amp;Y46,W46)</f>
        <v>EVA</v>
      </c>
    </row>
    <row r="47" spans="1:26" ht="31.5" customHeight="1">
      <c r="A47" s="20"/>
      <c r="B47" s="79" t="s">
        <v>1393</v>
      </c>
      <c r="C47" s="20"/>
      <c r="D47" s="374" t="s">
        <v>1481</v>
      </c>
      <c r="E47" s="25" t="str">
        <f>IF($D47="NO","No Aplica",IF(OR(COUNTIF(Preguntas!G120:G132,"EVA")&gt;0,COUNTBLANK(Preguntas!G120:G132)&gt;0),"EVA",AVERAGE(Preguntas!G120:G132)))</f>
        <v>EVA</v>
      </c>
      <c r="F47" s="20"/>
      <c r="G47" s="225" t="str">
        <f>IF(E47="No Aplica","No Aplica",IF(E47="EVA","POR EVALUAR",IF(E47&lt;=39%,"Inicial / Reactivo",IF(E47&lt;=59%,"Dependiente",IF(E47&lt;=79%,"Independiente",IF(E47&lt;=99%,"Interdependiente","Predictivo"))))))</f>
        <v>POR EVALUAR</v>
      </c>
      <c r="H47" s="226"/>
      <c r="I47" s="20"/>
      <c r="J47" s="20"/>
      <c r="K47" s="20"/>
      <c r="L47" s="20"/>
      <c r="M47" s="20"/>
      <c r="N47" s="20"/>
      <c r="O47" s="20"/>
      <c r="Q47" s="380" t="str">
        <f>B47</f>
        <v>D.12 Factores correctivos</v>
      </c>
      <c r="R47" s="388" t="e">
        <f>IF($X47=R$34,$W47,NA())</f>
        <v>#N/A</v>
      </c>
      <c r="S47" s="388" t="e">
        <f>IF($X47=S$34,$W47,NA())</f>
        <v>#N/A</v>
      </c>
      <c r="T47" s="388" t="e">
        <f>IF($X47=T$34,$W47,NA())</f>
        <v>#N/A</v>
      </c>
      <c r="U47" s="388" t="e">
        <f>IF($X47=U$34,$W47,NA())</f>
        <v>#N/A</v>
      </c>
      <c r="V47" s="388" t="e">
        <f>IF($X47=V$34,$W47,NA())</f>
        <v>#N/A</v>
      </c>
      <c r="W47" s="388" t="str">
        <f>E47</f>
        <v>EVA</v>
      </c>
      <c r="X47" s="380" t="str">
        <f>IF(ISNUMBER(W47),COUNTIF(Escala!$J$21:$J$24,"&lt;"&amp;W47)+1,"")</f>
        <v/>
      </c>
      <c r="Y47" s="380" t="str" cm="1">
        <f t="array" ref="Y47">IF(X47="","",INDEX(Escala!$I$21:$I$25,X47))</f>
        <v/>
      </c>
      <c r="Z47" s="380" t="str">
        <f>IF(ISNUMBER(W47),TEXT(W47,"0%")&amp;" | "&amp;Y47,W47)</f>
        <v>EVA</v>
      </c>
    </row>
    <row r="48" spans="1:26">
      <c r="A48" s="20"/>
      <c r="B48" s="20"/>
      <c r="C48" s="20"/>
      <c r="D48" s="20"/>
      <c r="E48" s="20"/>
      <c r="F48" s="20"/>
      <c r="G48" s="20"/>
      <c r="H48" s="20"/>
      <c r="I48" s="20"/>
      <c r="J48" s="20"/>
      <c r="K48" s="20"/>
      <c r="L48" s="20"/>
      <c r="M48" s="20"/>
      <c r="N48" s="20"/>
      <c r="O48" s="20"/>
    </row>
    <row r="49" spans="1:15" ht="15.5" customHeight="1">
      <c r="A49" s="20"/>
      <c r="B49" s="375" t="s">
        <v>121</v>
      </c>
      <c r="C49" s="375"/>
      <c r="D49" s="376">
        <f>COUNTIF('Matriz de Prioridades'!S5:T16,"PRIORIDAD 1")+COUNTIF('Matriz de Prioridades'!S5:T16,"PRIORIDAD 2")+COUNTIF('Matriz de Prioridades'!S5:T16,"PRIORIDAD 3")+COUNTIF('Matriz de Prioridades'!S5:T16,"PRIORIDAD 4")</f>
        <v>12</v>
      </c>
      <c r="E49" s="376"/>
      <c r="F49" s="376"/>
      <c r="G49" s="223" t="str">
        <f>CONCATENATE('Matriz de Prioridades'!B41)</f>
        <v>PRIORIDAD 1 = 3</v>
      </c>
      <c r="H49" s="223" t="str">
        <f>CONCATENATE('Matriz de Prioridades'!B42)</f>
        <v>PRIORIDAD 2 = 0</v>
      </c>
      <c r="I49" s="223"/>
      <c r="J49" s="223"/>
      <c r="K49" s="223" t="str">
        <f>CONCATENATE('Matriz de Prioridades'!B43)</f>
        <v>PRIORIDAD 3 = 6</v>
      </c>
      <c r="L49" s="223"/>
      <c r="M49" s="223"/>
      <c r="N49" s="223" t="str">
        <f>CONCATENATE('Matriz de Prioridades'!B44)</f>
        <v>PRIORIDAD 4 = 2</v>
      </c>
      <c r="O49" s="20"/>
    </row>
    <row r="50" spans="1:15" ht="15.5" customHeight="1">
      <c r="A50" s="20"/>
      <c r="B50" s="375"/>
      <c r="C50" s="375"/>
      <c r="D50" s="376"/>
      <c r="E50" s="376"/>
      <c r="F50" s="376"/>
      <c r="G50" s="223"/>
      <c r="H50" s="223"/>
      <c r="I50" s="223"/>
      <c r="J50" s="223"/>
      <c r="K50" s="223"/>
      <c r="L50" s="223"/>
      <c r="M50" s="223"/>
      <c r="N50" s="223"/>
      <c r="O50" s="20"/>
    </row>
    <row r="51" spans="1:15" ht="15.5" customHeight="1">
      <c r="A51" s="20"/>
      <c r="B51" s="375"/>
      <c r="C51" s="375"/>
      <c r="D51" s="376"/>
      <c r="E51" s="376"/>
      <c r="F51" s="376"/>
      <c r="G51" s="223"/>
      <c r="H51" s="223"/>
      <c r="I51" s="223"/>
      <c r="J51" s="223"/>
      <c r="K51" s="223"/>
      <c r="L51" s="223"/>
      <c r="M51" s="223"/>
      <c r="N51" s="223"/>
      <c r="O51" s="20"/>
    </row>
    <row r="52" spans="1:15">
      <c r="A52" s="20"/>
      <c r="B52" s="20"/>
      <c r="C52" s="20"/>
      <c r="D52" s="20"/>
      <c r="E52" s="20"/>
      <c r="F52" s="20"/>
      <c r="G52" s="20"/>
      <c r="H52" s="20"/>
      <c r="I52" s="20"/>
      <c r="J52" s="20"/>
      <c r="K52" s="20"/>
      <c r="L52" s="20"/>
      <c r="M52" s="20"/>
      <c r="N52" s="20"/>
      <c r="O52" s="20"/>
    </row>
    <row r="53" spans="1:15">
      <c r="A53" s="20"/>
      <c r="B53" s="20"/>
      <c r="C53" s="20"/>
      <c r="D53" s="20"/>
      <c r="E53" s="20"/>
      <c r="F53" s="20"/>
      <c r="G53" s="20"/>
      <c r="H53" s="20"/>
      <c r="I53" s="20"/>
      <c r="J53" s="20"/>
      <c r="K53" s="20"/>
      <c r="L53" s="20"/>
      <c r="M53" s="20"/>
      <c r="N53" s="20"/>
      <c r="O53" s="20"/>
    </row>
    <row r="54" spans="1:15">
      <c r="A54" s="20"/>
      <c r="B54" s="20"/>
      <c r="C54" s="20"/>
      <c r="D54" s="20"/>
      <c r="E54" s="20"/>
      <c r="F54" s="20"/>
      <c r="G54" s="20"/>
      <c r="H54" s="20"/>
      <c r="I54" s="20"/>
      <c r="J54" s="20"/>
      <c r="K54" s="20"/>
      <c r="L54" s="20"/>
      <c r="M54" s="20"/>
      <c r="N54" s="20"/>
      <c r="O54" s="20"/>
    </row>
    <row r="55" spans="1:15" ht="15" customHeight="1">
      <c r="A55" s="20"/>
      <c r="B55" s="20"/>
      <c r="C55" s="20"/>
      <c r="D55" s="20"/>
      <c r="E55" s="20"/>
      <c r="F55" s="20"/>
      <c r="G55" s="20"/>
      <c r="H55" s="20"/>
      <c r="I55" s="20"/>
      <c r="J55" s="20"/>
      <c r="K55" s="20"/>
      <c r="L55" s="20"/>
      <c r="M55" s="20"/>
      <c r="N55" s="20"/>
      <c r="O55" s="20"/>
    </row>
    <row r="56" spans="1:15">
      <c r="A56" s="20"/>
      <c r="B56" s="20"/>
      <c r="C56" s="20"/>
      <c r="D56" s="20"/>
      <c r="E56" s="20"/>
      <c r="F56" s="20"/>
      <c r="G56" s="20"/>
      <c r="H56" s="20"/>
      <c r="I56" s="20"/>
      <c r="J56" s="20"/>
      <c r="K56" s="20"/>
      <c r="L56" s="20"/>
      <c r="M56" s="20"/>
      <c r="N56" s="20"/>
      <c r="O56" s="20"/>
    </row>
    <row r="57" spans="1:15">
      <c r="A57" s="20"/>
      <c r="B57" s="20"/>
      <c r="C57" s="20"/>
      <c r="D57" s="20"/>
      <c r="E57" s="20"/>
      <c r="F57" s="20"/>
      <c r="G57" s="20"/>
      <c r="H57" s="20"/>
      <c r="I57" s="20"/>
      <c r="J57" s="20"/>
      <c r="K57" s="20"/>
      <c r="L57" s="20"/>
      <c r="M57" s="20"/>
      <c r="N57" s="20"/>
      <c r="O57" s="20"/>
    </row>
    <row r="58" spans="1:15">
      <c r="A58" s="20"/>
      <c r="B58" s="20"/>
      <c r="C58" s="20"/>
      <c r="D58" s="20"/>
      <c r="E58" s="20"/>
      <c r="F58" s="20"/>
      <c r="G58" s="20"/>
      <c r="H58" s="20"/>
      <c r="I58" s="20"/>
      <c r="J58" s="20"/>
      <c r="K58" s="20"/>
      <c r="L58" s="20"/>
      <c r="M58" s="20"/>
      <c r="N58" s="20"/>
      <c r="O58" s="20"/>
    </row>
    <row r="59" spans="1:15">
      <c r="A59" s="20"/>
      <c r="B59" s="20"/>
      <c r="C59" s="20"/>
      <c r="D59" s="20"/>
      <c r="E59" s="20"/>
      <c r="F59" s="20"/>
      <c r="G59" s="20"/>
      <c r="H59" s="20"/>
      <c r="I59" s="20"/>
      <c r="J59" s="20"/>
      <c r="K59" s="20"/>
      <c r="L59" s="20"/>
      <c r="M59" s="20"/>
      <c r="N59" s="20"/>
      <c r="O59" s="20"/>
    </row>
    <row r="60" spans="1:15">
      <c r="A60" s="20"/>
      <c r="B60" s="20"/>
      <c r="C60" s="20"/>
      <c r="D60" s="20"/>
      <c r="E60" s="20"/>
      <c r="F60" s="20"/>
      <c r="G60" s="20"/>
      <c r="H60" s="20"/>
      <c r="I60" s="20"/>
      <c r="J60" s="20"/>
      <c r="K60" s="20"/>
      <c r="L60" s="20"/>
      <c r="M60" s="20"/>
      <c r="N60" s="20"/>
      <c r="O60" s="20"/>
    </row>
    <row r="61" spans="1:15">
      <c r="A61" s="20"/>
      <c r="B61" s="20"/>
      <c r="C61" s="20"/>
      <c r="D61" s="20"/>
      <c r="E61" s="20"/>
      <c r="F61" s="20"/>
      <c r="G61" s="20"/>
      <c r="H61" s="20"/>
      <c r="I61" s="20"/>
      <c r="J61" s="20"/>
      <c r="K61" s="20"/>
      <c r="L61" s="20"/>
      <c r="M61" s="20"/>
      <c r="N61" s="20"/>
      <c r="O61" s="20"/>
    </row>
    <row r="62" spans="1:15" ht="14.5" customHeight="1">
      <c r="A62" s="20"/>
      <c r="B62" s="20"/>
      <c r="C62" s="20"/>
      <c r="D62" s="20"/>
      <c r="E62" s="20"/>
      <c r="F62" s="20"/>
      <c r="G62" s="20"/>
      <c r="H62" s="20"/>
      <c r="I62" s="20"/>
      <c r="J62" s="20"/>
      <c r="K62" s="20"/>
      <c r="L62" s="20"/>
      <c r="M62" s="20"/>
      <c r="N62" s="20"/>
      <c r="O62" s="20"/>
    </row>
    <row r="63" spans="1:15" ht="14.5" customHeight="1">
      <c r="A63" s="20"/>
      <c r="B63" s="20"/>
      <c r="C63" s="20"/>
      <c r="D63" s="20"/>
      <c r="E63" s="20"/>
      <c r="F63" s="20"/>
      <c r="G63" s="20"/>
      <c r="H63" s="20"/>
      <c r="I63" s="20"/>
      <c r="J63" s="20"/>
      <c r="K63" s="20"/>
      <c r="L63" s="20"/>
      <c r="M63" s="20"/>
      <c r="N63" s="20"/>
      <c r="O63" s="20"/>
    </row>
    <row r="64" spans="1:15" ht="14.5" customHeight="1">
      <c r="A64" s="20"/>
      <c r="B64" s="20"/>
      <c r="C64" s="20"/>
      <c r="D64" s="20"/>
      <c r="E64" s="20"/>
      <c r="F64" s="20"/>
      <c r="G64" s="20"/>
      <c r="H64" s="20"/>
      <c r="I64" s="20"/>
      <c r="J64" s="20"/>
      <c r="K64" s="20"/>
      <c r="L64" s="20"/>
      <c r="M64" s="20"/>
      <c r="N64" s="20"/>
      <c r="O64" s="20"/>
    </row>
    <row r="65" spans="1:15" ht="14.5" customHeight="1">
      <c r="A65" s="20"/>
      <c r="B65" s="20"/>
      <c r="C65" s="20"/>
      <c r="D65" s="20"/>
      <c r="E65" s="20"/>
      <c r="F65" s="20"/>
      <c r="G65" s="20"/>
      <c r="H65" s="20"/>
      <c r="I65" s="20"/>
      <c r="J65" s="20"/>
      <c r="K65" s="20"/>
      <c r="L65" s="20"/>
      <c r="M65" s="20"/>
      <c r="N65" s="20"/>
      <c r="O65" s="20"/>
    </row>
    <row r="66" spans="1:15" ht="14.5" customHeight="1">
      <c r="A66" s="20"/>
      <c r="B66" s="20"/>
      <c r="C66" s="20"/>
      <c r="D66" s="20"/>
      <c r="E66" s="20"/>
      <c r="F66" s="20"/>
      <c r="G66" s="20"/>
      <c r="H66" s="20"/>
      <c r="I66" s="20"/>
      <c r="J66" s="20"/>
      <c r="K66" s="20"/>
      <c r="L66" s="20"/>
      <c r="M66" s="20"/>
      <c r="N66" s="20"/>
      <c r="O66" s="20"/>
    </row>
    <row r="67" spans="1:15" ht="14.5" customHeight="1">
      <c r="A67" s="20"/>
      <c r="B67" s="20"/>
      <c r="C67" s="20"/>
      <c r="D67" s="20"/>
      <c r="E67" s="20"/>
      <c r="F67" s="20"/>
      <c r="G67" s="20"/>
      <c r="H67" s="20"/>
      <c r="I67" s="20"/>
      <c r="J67" s="20"/>
      <c r="K67" s="20"/>
      <c r="L67" s="20"/>
      <c r="M67" s="20"/>
      <c r="N67" s="20"/>
      <c r="O67" s="20"/>
    </row>
    <row r="68" spans="1:15" ht="14.5" customHeight="1">
      <c r="A68" s="20"/>
      <c r="B68" s="20"/>
      <c r="C68" s="20"/>
      <c r="D68" s="20"/>
      <c r="E68" s="20"/>
      <c r="F68" s="20"/>
      <c r="G68" s="20"/>
      <c r="H68" s="20"/>
      <c r="I68" s="20"/>
      <c r="J68" s="20"/>
      <c r="K68" s="20"/>
      <c r="L68" s="20"/>
      <c r="M68" s="20"/>
      <c r="N68" s="20"/>
      <c r="O68" s="20"/>
    </row>
    <row r="69" spans="1:15" ht="14.5" customHeight="1">
      <c r="A69" s="20"/>
      <c r="B69" s="20"/>
      <c r="C69" s="20"/>
      <c r="D69" s="20"/>
      <c r="E69" s="20"/>
      <c r="F69" s="20"/>
      <c r="G69" s="20"/>
      <c r="H69" s="20"/>
      <c r="I69" s="20"/>
      <c r="J69" s="20"/>
      <c r="K69" s="20"/>
      <c r="L69" s="20"/>
      <c r="M69" s="20"/>
      <c r="N69" s="20"/>
      <c r="O69" s="20"/>
    </row>
    <row r="70" spans="1:15" ht="14.5" customHeight="1">
      <c r="A70" s="20"/>
      <c r="B70" s="20"/>
      <c r="C70" s="20"/>
      <c r="D70" s="20"/>
      <c r="E70" s="20"/>
      <c r="F70" s="20"/>
      <c r="G70" s="20"/>
      <c r="H70" s="20"/>
      <c r="I70" s="20"/>
      <c r="J70" s="20"/>
      <c r="K70" s="20"/>
      <c r="L70" s="20"/>
      <c r="M70" s="20"/>
      <c r="N70" s="20"/>
      <c r="O70" s="20"/>
    </row>
    <row r="71" spans="1:15" ht="14.5" customHeight="1">
      <c r="A71" s="20"/>
      <c r="B71" s="20"/>
      <c r="C71" s="20"/>
      <c r="D71" s="20"/>
      <c r="E71" s="20"/>
      <c r="F71" s="20"/>
      <c r="G71" s="20"/>
      <c r="H71" s="20"/>
      <c r="I71" s="20"/>
      <c r="J71" s="20"/>
      <c r="K71" s="20"/>
      <c r="L71" s="20"/>
      <c r="M71" s="20"/>
      <c r="N71" s="20"/>
      <c r="O71" s="20"/>
    </row>
    <row r="72" spans="1:15" ht="14.5" customHeight="1">
      <c r="A72" s="20"/>
      <c r="B72" s="20"/>
      <c r="C72" s="20"/>
      <c r="D72" s="20"/>
      <c r="E72" s="20"/>
      <c r="F72" s="20"/>
      <c r="G72" s="20"/>
      <c r="H72" s="20"/>
      <c r="I72" s="20"/>
      <c r="J72" s="20"/>
      <c r="K72" s="20"/>
      <c r="L72" s="20"/>
      <c r="M72" s="20"/>
      <c r="N72" s="20"/>
      <c r="O72" s="20"/>
    </row>
    <row r="73" spans="1:15" ht="14.5" customHeight="1">
      <c r="A73" s="20"/>
      <c r="B73" s="20"/>
      <c r="C73" s="20"/>
      <c r="D73" s="20"/>
      <c r="E73" s="20"/>
      <c r="F73" s="20"/>
      <c r="G73" s="20"/>
      <c r="H73" s="20"/>
      <c r="I73" s="20"/>
      <c r="J73" s="20"/>
      <c r="K73" s="20"/>
      <c r="L73" s="20"/>
      <c r="M73" s="20"/>
      <c r="N73" s="20"/>
      <c r="O73" s="20"/>
    </row>
    <row r="74" spans="1:15" ht="14.5" customHeight="1">
      <c r="A74" s="20"/>
      <c r="B74" s="20"/>
      <c r="C74" s="20"/>
      <c r="D74" s="20"/>
      <c r="E74" s="20"/>
      <c r="F74" s="20"/>
      <c r="G74" s="20"/>
      <c r="H74" s="20"/>
      <c r="I74" s="20"/>
      <c r="J74" s="20"/>
      <c r="K74" s="20"/>
      <c r="L74" s="20"/>
      <c r="M74" s="20"/>
      <c r="N74" s="20"/>
      <c r="O74" s="20"/>
    </row>
    <row r="75" spans="1:15" ht="14.5" customHeight="1">
      <c r="A75" s="20"/>
      <c r="B75" s="20"/>
      <c r="C75" s="20"/>
      <c r="D75" s="20"/>
      <c r="E75" s="20"/>
      <c r="F75" s="20"/>
      <c r="G75" s="20"/>
      <c r="H75" s="20"/>
      <c r="I75" s="20"/>
      <c r="J75" s="20"/>
      <c r="K75" s="20"/>
      <c r="L75" s="20"/>
      <c r="M75" s="20"/>
      <c r="N75" s="20"/>
      <c r="O75" s="20"/>
    </row>
    <row r="76" spans="1:15" ht="14.5" customHeight="1">
      <c r="A76" s="20"/>
      <c r="B76" s="20"/>
      <c r="C76" s="20"/>
      <c r="D76" s="20"/>
      <c r="E76" s="20"/>
      <c r="F76" s="20"/>
      <c r="G76" s="20"/>
      <c r="H76" s="20"/>
      <c r="I76" s="20"/>
      <c r="J76" s="20"/>
      <c r="K76" s="20"/>
      <c r="L76" s="20"/>
      <c r="M76" s="20"/>
      <c r="N76" s="20"/>
      <c r="O76" s="20"/>
    </row>
    <row r="77" spans="1:15" ht="14.5" customHeight="1">
      <c r="A77" s="20"/>
      <c r="B77" s="20"/>
      <c r="C77" s="20"/>
      <c r="D77" s="20"/>
      <c r="E77" s="20"/>
      <c r="F77" s="20"/>
      <c r="G77" s="20"/>
      <c r="H77" s="20"/>
      <c r="I77" s="20"/>
      <c r="J77" s="20"/>
      <c r="K77" s="20"/>
      <c r="L77" s="20"/>
      <c r="M77" s="20"/>
      <c r="N77" s="20"/>
      <c r="O77" s="20"/>
    </row>
    <row r="78" spans="1:15">
      <c r="A78" s="20"/>
      <c r="B78" s="20"/>
      <c r="C78" s="20"/>
      <c r="D78" s="20"/>
      <c r="E78" s="20"/>
      <c r="F78" s="20"/>
      <c r="G78" s="20"/>
      <c r="H78" s="20"/>
      <c r="I78" s="20"/>
      <c r="J78" s="20"/>
      <c r="K78" s="20"/>
      <c r="L78" s="20"/>
      <c r="M78" s="20"/>
      <c r="N78" s="20"/>
      <c r="O78" s="20"/>
    </row>
  </sheetData>
  <mergeCells count="56">
    <mergeCell ref="B19:K19"/>
    <mergeCell ref="B24:K24"/>
    <mergeCell ref="C28:N28"/>
    <mergeCell ref="C29:N29"/>
    <mergeCell ref="C30:N30"/>
    <mergeCell ref="C31:N31"/>
    <mergeCell ref="M38:N38"/>
    <mergeCell ref="J38:L38"/>
    <mergeCell ref="C9:N9"/>
    <mergeCell ref="C11:N11"/>
    <mergeCell ref="C13:N13"/>
    <mergeCell ref="C15:N15"/>
    <mergeCell ref="M17:N18"/>
    <mergeCell ref="B18:K18"/>
    <mergeCell ref="C2:N2"/>
    <mergeCell ref="B3:N3"/>
    <mergeCell ref="C6:N6"/>
    <mergeCell ref="C7:N7"/>
    <mergeCell ref="C8:N8"/>
    <mergeCell ref="B20:K20"/>
    <mergeCell ref="B21:K21"/>
    <mergeCell ref="B22:K22"/>
    <mergeCell ref="B25:K25"/>
    <mergeCell ref="B23:K23"/>
    <mergeCell ref="G36:H36"/>
    <mergeCell ref="J36:L37"/>
    <mergeCell ref="M36:N37"/>
    <mergeCell ref="G37:H37"/>
    <mergeCell ref="C32:N32"/>
    <mergeCell ref="B34:N34"/>
    <mergeCell ref="B35:C35"/>
    <mergeCell ref="G35:H35"/>
    <mergeCell ref="J35:L35"/>
    <mergeCell ref="M35:N35"/>
    <mergeCell ref="J41:N41"/>
    <mergeCell ref="J44:N44"/>
    <mergeCell ref="G38:H38"/>
    <mergeCell ref="G47:H47"/>
    <mergeCell ref="G39:H39"/>
    <mergeCell ref="G40:H40"/>
    <mergeCell ref="G41:H41"/>
    <mergeCell ref="G42:H42"/>
    <mergeCell ref="G43:H43"/>
    <mergeCell ref="G44:H44"/>
    <mergeCell ref="G45:H45"/>
    <mergeCell ref="G46:H46"/>
    <mergeCell ref="M39:N40"/>
    <mergeCell ref="J39:L40"/>
    <mergeCell ref="J42:N43"/>
    <mergeCell ref="J45:N46"/>
    <mergeCell ref="H49:J51"/>
    <mergeCell ref="K49:M51"/>
    <mergeCell ref="N49:N51"/>
    <mergeCell ref="G49:G51"/>
    <mergeCell ref="D49:F51"/>
    <mergeCell ref="B49:C51"/>
  </mergeCells>
  <conditionalFormatting sqref="E36:E47">
    <cfRule type="expression" dxfId="51" priority="15">
      <formula>NOT(ISERROR(SEARCH("EVA",E36)))</formula>
    </cfRule>
    <cfRule type="cellIs" dxfId="50" priority="16" operator="between">
      <formula>0</formula>
      <formula>0.39</formula>
    </cfRule>
    <cfRule type="cellIs" dxfId="49" priority="17" operator="between">
      <formula>0.4</formula>
      <formula>0.59</formula>
    </cfRule>
    <cfRule type="cellIs" dxfId="48" priority="18" operator="between">
      <formula>0.6</formula>
      <formula>0.79</formula>
    </cfRule>
    <cfRule type="cellIs" dxfId="47" priority="19" operator="between">
      <formula>0.8</formula>
      <formula>0.99</formula>
    </cfRule>
    <cfRule type="cellIs" dxfId="46" priority="20" operator="between">
      <formula>1</formula>
      <formula>1</formula>
    </cfRule>
  </conditionalFormatting>
  <conditionalFormatting sqref="G36:H47">
    <cfRule type="containsText" dxfId="45" priority="37" operator="containsText" text="No Aplica">
      <formula>NOT(ISERROR(SEARCH("No Aplica",G36)))</formula>
    </cfRule>
    <cfRule type="expression" dxfId="44" priority="38">
      <formula>$G36="Dependiente"</formula>
    </cfRule>
    <cfRule type="expression" dxfId="43" priority="39">
      <formula>$G36="Independiente"</formula>
    </cfRule>
    <cfRule type="expression" dxfId="42" priority="40">
      <formula>$G36="Interdependiente"</formula>
    </cfRule>
    <cfRule type="expression" dxfId="41" priority="41">
      <formula>$G36="Predictivo"</formula>
    </cfRule>
    <cfRule type="expression" dxfId="40" priority="42">
      <formula>$G36="POR EVALUAR"</formula>
    </cfRule>
  </conditionalFormatting>
  <conditionalFormatting sqref="J36:L36">
    <cfRule type="expression" dxfId="39" priority="26">
      <formula>NOT(ISERROR(SEARCH("EVA",J36)))</formula>
    </cfRule>
    <cfRule type="cellIs" dxfId="38" priority="27" operator="between">
      <formula>0</formula>
      <formula>0.39</formula>
    </cfRule>
    <cfRule type="cellIs" dxfId="37" priority="28" operator="between">
      <formula>0.4</formula>
      <formula>0.59</formula>
    </cfRule>
    <cfRule type="cellIs" dxfId="36" priority="29" operator="between">
      <formula>0.6</formula>
      <formula>0.79</formula>
    </cfRule>
    <cfRule type="cellIs" dxfId="35" priority="30" operator="between">
      <formula>0.8</formula>
      <formula>0.99</formula>
    </cfRule>
    <cfRule type="cellIs" dxfId="34" priority="31" operator="between">
      <formula>1</formula>
      <formula>1</formula>
    </cfRule>
  </conditionalFormatting>
  <conditionalFormatting sqref="J39 M39">
    <cfRule type="expression" dxfId="33" priority="32">
      <formula>AVERAGE($E$36:$E$47)&lt;=39%</formula>
    </cfRule>
    <cfRule type="expression" dxfId="32" priority="33">
      <formula>AND(AVERAGE($E$36:$E$47)&gt;39%,AVERAGE($E$36:$E$47)&lt;=59%)</formula>
    </cfRule>
    <cfRule type="expression" dxfId="31" priority="34">
      <formula>AND(AVERAGE($E$36:$E$47)&gt;59%,AVERAGE($E$36:$E$47)&lt;=79%)</formula>
    </cfRule>
    <cfRule type="expression" dxfId="30" priority="35">
      <formula>AND(AVERAGE($E$36:$E$47)&gt;79%,AVERAGE($E$36:$E$47)&lt;=99%)</formula>
    </cfRule>
    <cfRule type="expression" dxfId="29" priority="36">
      <formula>AVERAGE($E$36:$E$47)&gt;99%</formula>
    </cfRule>
  </conditionalFormatting>
  <conditionalFormatting sqref="D36:D47">
    <cfRule type="containsText" dxfId="28" priority="1" operator="containsText" text="Decidir">
      <formula>NOT(ISERROR(SEARCH("Decidir",D36)))</formula>
    </cfRule>
    <cfRule type="containsText" dxfId="27" priority="2" operator="containsText" text="NO">
      <formula>NOT(ISERROR(SEARCH("NO",D36)))</formula>
    </cfRule>
    <cfRule type="containsText" dxfId="26" priority="3" operator="containsText" text="SI">
      <formula>NOT(ISERROR(SEARCH("SI",D36)))</formula>
    </cfRule>
  </conditionalFormatting>
  <conditionalFormatting sqref="E36:E47">
    <cfRule type="expression" dxfId="25" priority="43">
      <formula>$D36="NO"</formula>
    </cfRule>
  </conditionalFormatting>
  <dataValidations count="1">
    <dataValidation type="list" allowBlank="1" showInputMessage="1" showErrorMessage="1" sqref="D36:D47" xr:uid="{8D3CB181-ED32-4C7B-A6B7-E369079EC191}">
      <formula1>"Decidir,SI,NO"</formula1>
    </dataValidation>
  </dataValidations>
  <hyperlinks>
    <hyperlink ref="B35:C35" location="Preguntas!A1" display="COMPONENTE EVALUADO" xr:uid="{DD8250D6-DD91-4110-8F75-0EFB6BC14C54}"/>
  </hyperlink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33"/>
  <sheetViews>
    <sheetView showGridLines="0" topLeftCell="A7" zoomScale="40" zoomScaleNormal="40" workbookViewId="0">
      <selection activeCell="E21" sqref="E21"/>
    </sheetView>
  </sheetViews>
  <sheetFormatPr baseColWidth="10" defaultColWidth="0" defaultRowHeight="14.5" zeroHeight="1"/>
  <cols>
    <col min="1" max="1" width="3" style="78" customWidth="1"/>
    <col min="2" max="2" width="17.81640625" customWidth="1"/>
    <col min="3" max="3" width="70" customWidth="1"/>
    <col min="4" max="4" width="27.54296875" customWidth="1"/>
    <col min="5" max="5" width="48" customWidth="1"/>
    <col min="6" max="6" width="97.90625" customWidth="1"/>
    <col min="7" max="7" width="12" customWidth="1"/>
    <col min="8" max="8" width="3.36328125" customWidth="1"/>
    <col min="9" max="16384" width="8.6328125" hidden="1"/>
  </cols>
  <sheetData>
    <row r="1" spans="2:8">
      <c r="B1" s="78"/>
      <c r="C1" s="78"/>
      <c r="D1" s="78"/>
      <c r="E1" s="78"/>
      <c r="F1" s="78"/>
      <c r="G1" s="78"/>
      <c r="H1" s="78"/>
    </row>
    <row r="2" spans="2:8" ht="32.5" customHeight="1">
      <c r="B2" s="278" t="s">
        <v>55</v>
      </c>
      <c r="C2" s="278"/>
      <c r="D2" s="278"/>
      <c r="E2" s="278"/>
      <c r="F2" s="278"/>
      <c r="G2" s="278"/>
      <c r="H2" s="78"/>
    </row>
    <row r="3" spans="2:8" ht="15" thickBot="1">
      <c r="B3" s="78"/>
      <c r="C3" s="78"/>
      <c r="D3" s="78"/>
      <c r="E3" s="78"/>
      <c r="F3" s="78"/>
      <c r="G3" s="78"/>
      <c r="H3" s="78"/>
    </row>
    <row r="4" spans="2:8" ht="26.5" thickBot="1">
      <c r="B4" s="4" t="s">
        <v>40</v>
      </c>
      <c r="C4" s="5" t="s">
        <v>41</v>
      </c>
      <c r="D4" s="5" t="s">
        <v>138</v>
      </c>
      <c r="E4" s="49" t="s">
        <v>115</v>
      </c>
      <c r="F4" s="5" t="s">
        <v>42</v>
      </c>
      <c r="G4" s="6" t="s">
        <v>43</v>
      </c>
      <c r="H4" s="78"/>
    </row>
    <row r="5" spans="2:8" ht="60" customHeight="1">
      <c r="B5" s="269" t="s">
        <v>716</v>
      </c>
      <c r="C5" s="104" t="s">
        <v>152</v>
      </c>
      <c r="D5" s="337" t="s">
        <v>154</v>
      </c>
      <c r="E5" s="7"/>
      <c r="F5" s="8" t="s">
        <v>44</v>
      </c>
      <c r="G5" s="9" t="str">
        <f>IF(F5="EVA","EVA",IFERROR((MATCH(F5,'Listas Evaluación'!A1:F1,0)-2)/4,""))</f>
        <v>EVA</v>
      </c>
      <c r="H5" s="78"/>
    </row>
    <row r="6" spans="2:8" ht="60" customHeight="1">
      <c r="B6" s="270"/>
      <c r="C6" s="105" t="s">
        <v>160</v>
      </c>
      <c r="D6" s="338" t="s">
        <v>162</v>
      </c>
      <c r="E6" s="3"/>
      <c r="F6" s="2" t="s">
        <v>44</v>
      </c>
      <c r="G6" s="1" t="str">
        <f>IF(F6="EVA","EVA",IFERROR((MATCH(F6,'Listas Evaluación'!A2:F2,0)-2)/4,""))</f>
        <v>EVA</v>
      </c>
      <c r="H6" s="78"/>
    </row>
    <row r="7" spans="2:8" ht="60" customHeight="1">
      <c r="B7" s="270"/>
      <c r="C7" s="105" t="s">
        <v>167</v>
      </c>
      <c r="D7" s="338" t="s">
        <v>169</v>
      </c>
      <c r="E7" s="3"/>
      <c r="F7" s="2" t="s">
        <v>44</v>
      </c>
      <c r="G7" s="1" t="str">
        <f>IF(F7="EVA","EVA",IFERROR((MATCH(F7,'Listas Evaluación'!A3:F3,0)-2)/4,""))</f>
        <v>EVA</v>
      </c>
      <c r="H7" s="78"/>
    </row>
    <row r="8" spans="2:8" ht="60" customHeight="1">
      <c r="B8" s="270"/>
      <c r="C8" s="105" t="s">
        <v>178</v>
      </c>
      <c r="D8" s="338" t="s">
        <v>169</v>
      </c>
      <c r="E8" s="3"/>
      <c r="F8" s="2" t="s">
        <v>44</v>
      </c>
      <c r="G8" s="1" t="str">
        <f>IF(F8="EVA","EVA",IFERROR((MATCH(F8,'Listas Evaluación'!A4:F4,0)-2)/4,""))</f>
        <v>EVA</v>
      </c>
      <c r="H8" s="78"/>
    </row>
    <row r="9" spans="2:8" ht="60" customHeight="1">
      <c r="B9" s="270"/>
      <c r="C9" s="105" t="s">
        <v>182</v>
      </c>
      <c r="D9" s="338" t="s">
        <v>184</v>
      </c>
      <c r="E9" s="3"/>
      <c r="F9" s="2" t="s">
        <v>44</v>
      </c>
      <c r="G9" s="1" t="str">
        <f>IF(F9="EVA","EVA",IFERROR((MATCH(F9,'Listas Evaluación'!A5:F5,0)-2)/4,""))</f>
        <v>EVA</v>
      </c>
      <c r="H9" s="78"/>
    </row>
    <row r="10" spans="2:8" ht="60" customHeight="1">
      <c r="B10" s="270"/>
      <c r="C10" s="105" t="s">
        <v>186</v>
      </c>
      <c r="D10" s="338" t="s">
        <v>154</v>
      </c>
      <c r="E10" s="3"/>
      <c r="F10" s="2" t="s">
        <v>44</v>
      </c>
      <c r="G10" s="1" t="str">
        <f>IF(F10="EVA","EVA",IFERROR((MATCH(F10,'Listas Evaluación'!A6:F6,0)-2)/4,""))</f>
        <v>EVA</v>
      </c>
      <c r="H10" s="78"/>
    </row>
    <row r="11" spans="2:8" ht="60" customHeight="1">
      <c r="B11" s="270"/>
      <c r="C11" s="105" t="s">
        <v>194</v>
      </c>
      <c r="D11" s="338" t="s">
        <v>154</v>
      </c>
      <c r="E11" s="3"/>
      <c r="F11" s="2" t="s">
        <v>44</v>
      </c>
      <c r="G11" s="1" t="str">
        <f>IF(F11="EVA","EVA",IFERROR((MATCH(F11,'Listas Evaluación'!A7:F7,0)-2)/4,""))</f>
        <v>EVA</v>
      </c>
      <c r="H11" s="78"/>
    </row>
    <row r="12" spans="2:8" ht="60" customHeight="1">
      <c r="B12" s="270"/>
      <c r="C12" s="105" t="s">
        <v>197</v>
      </c>
      <c r="D12" s="338" t="s">
        <v>169</v>
      </c>
      <c r="E12" s="3"/>
      <c r="F12" s="2" t="s">
        <v>44</v>
      </c>
      <c r="G12" s="1" t="str">
        <f>IF(F12="EVA","EVA",IFERROR((MATCH(F12,'Listas Evaluación'!A8:F8,0)-2)/4,""))</f>
        <v>EVA</v>
      </c>
      <c r="H12" s="78"/>
    </row>
    <row r="13" spans="2:8" ht="60" customHeight="1">
      <c r="B13" s="270"/>
      <c r="C13" s="105" t="s">
        <v>201</v>
      </c>
      <c r="D13" s="338" t="s">
        <v>169</v>
      </c>
      <c r="E13" s="3"/>
      <c r="F13" s="2" t="s">
        <v>44</v>
      </c>
      <c r="G13" s="1" t="str">
        <f>IF(F13="EVA","EVA",IFERROR((MATCH(F13,'Listas Evaluación'!A9:F9,0)-2)/4,""))</f>
        <v>EVA</v>
      </c>
      <c r="H13" s="78"/>
    </row>
    <row r="14" spans="2:8" ht="60" customHeight="1">
      <c r="B14" s="270"/>
      <c r="C14" s="105" t="s">
        <v>206</v>
      </c>
      <c r="D14" s="338" t="s">
        <v>208</v>
      </c>
      <c r="E14" s="3"/>
      <c r="F14" s="2" t="s">
        <v>44</v>
      </c>
      <c r="G14" s="1" t="str">
        <f>IF(F14="EVA","EVA",IFERROR((MATCH(F14,'Listas Evaluación'!A10:F10,0)-2)/4,""))</f>
        <v>EVA</v>
      </c>
      <c r="H14" s="78"/>
    </row>
    <row r="15" spans="2:8" ht="60" customHeight="1">
      <c r="B15" s="270"/>
      <c r="C15" s="105" t="s">
        <v>212</v>
      </c>
      <c r="D15" s="338" t="s">
        <v>169</v>
      </c>
      <c r="E15" s="3"/>
      <c r="F15" s="2" t="s">
        <v>44</v>
      </c>
      <c r="G15" s="1" t="str">
        <f>IF(F15="EVA","EVA",IFERROR((MATCH(F15,'Listas Evaluación'!A11:F11,0)-2)/4,""))</f>
        <v>EVA</v>
      </c>
      <c r="H15" s="78"/>
    </row>
    <row r="16" spans="2:8" ht="60" customHeight="1">
      <c r="B16" s="270"/>
      <c r="C16" s="105" t="s">
        <v>220</v>
      </c>
      <c r="D16" s="338" t="s">
        <v>162</v>
      </c>
      <c r="E16" s="3"/>
      <c r="F16" s="2" t="s">
        <v>44</v>
      </c>
      <c r="G16" s="1" t="str">
        <f>IF(F16="EVA","EVA",IFERROR((MATCH(F16,'Listas Evaluación'!A12:F12,0)-2)/4,""))</f>
        <v>EVA</v>
      </c>
      <c r="H16" s="78"/>
    </row>
    <row r="17" spans="2:8" ht="60" customHeight="1">
      <c r="B17" s="270"/>
      <c r="C17" s="105" t="s">
        <v>224</v>
      </c>
      <c r="D17" s="338" t="s">
        <v>169</v>
      </c>
      <c r="E17" s="3"/>
      <c r="F17" s="2" t="s">
        <v>44</v>
      </c>
      <c r="G17" s="1" t="str">
        <f>IF(F17="EVA","EVA",IFERROR((MATCH(F17,'Listas Evaluación'!A13:F13,0)-2)/4,""))</f>
        <v>EVA</v>
      </c>
      <c r="H17" s="78"/>
    </row>
    <row r="18" spans="2:8" ht="60" customHeight="1">
      <c r="B18" s="270"/>
      <c r="C18" s="105" t="s">
        <v>232</v>
      </c>
      <c r="D18" s="338" t="s">
        <v>169</v>
      </c>
      <c r="E18" s="3"/>
      <c r="F18" s="2" t="s">
        <v>44</v>
      </c>
      <c r="G18" s="1" t="str">
        <f>IF(F18="EVA","EVA",IFERROR((MATCH(F18,'Listas Evaluación'!A14:F14,0)-2)/4,""))</f>
        <v>EVA</v>
      </c>
      <c r="H18" s="78"/>
    </row>
    <row r="19" spans="2:8" ht="60" customHeight="1">
      <c r="B19" s="270"/>
      <c r="C19" s="105" t="s">
        <v>236</v>
      </c>
      <c r="D19" s="338" t="s">
        <v>169</v>
      </c>
      <c r="E19" s="3"/>
      <c r="F19" s="2" t="s">
        <v>44</v>
      </c>
      <c r="G19" s="1" t="str">
        <f>IF(F19="EVA","EVA",IFERROR((MATCH(F19,'Listas Evaluación'!A15:F15,0)-2)/4,""))</f>
        <v>EVA</v>
      </c>
      <c r="H19" s="78"/>
    </row>
    <row r="20" spans="2:8" ht="60" customHeight="1">
      <c r="B20" s="270"/>
      <c r="C20" s="105" t="s">
        <v>244</v>
      </c>
      <c r="D20" s="338" t="s">
        <v>154</v>
      </c>
      <c r="E20" s="3"/>
      <c r="F20" s="2" t="s">
        <v>44</v>
      </c>
      <c r="G20" s="1" t="str">
        <f>IF(F20="EVA","EVA",IFERROR((MATCH(F20,'Listas Evaluación'!A16:F16,0)-2)/4,""))</f>
        <v>EVA</v>
      </c>
      <c r="H20" s="78"/>
    </row>
    <row r="21" spans="2:8" ht="60" customHeight="1" thickBot="1">
      <c r="B21" s="271"/>
      <c r="C21" s="111" t="s">
        <v>248</v>
      </c>
      <c r="D21" s="339" t="s">
        <v>250</v>
      </c>
      <c r="E21" s="101"/>
      <c r="F21" s="102" t="s">
        <v>44</v>
      </c>
      <c r="G21" s="103" t="str">
        <f>IF(F21="EVA","EVA",IFERROR((MATCH(F21,'Listas Evaluación'!A17:F17,0)-2)/4,""))</f>
        <v>EVA</v>
      </c>
      <c r="H21" s="78"/>
    </row>
    <row r="22" spans="2:8" ht="60" customHeight="1">
      <c r="B22" s="272" t="s">
        <v>717</v>
      </c>
      <c r="C22" s="112" t="s">
        <v>256</v>
      </c>
      <c r="D22" s="340" t="s">
        <v>154</v>
      </c>
      <c r="E22" s="113"/>
      <c r="F22" s="8" t="s">
        <v>44</v>
      </c>
      <c r="G22" s="9" t="str">
        <f>IF(F22="EVA","EVA",IFERROR((MATCH(F22,'Listas Evaluación'!A18:F18,0)-2)/4,""))</f>
        <v>EVA</v>
      </c>
      <c r="H22" s="78"/>
    </row>
    <row r="23" spans="2:8" ht="60" customHeight="1">
      <c r="B23" s="273"/>
      <c r="C23" s="114" t="s">
        <v>259</v>
      </c>
      <c r="D23" s="341" t="s">
        <v>250</v>
      </c>
      <c r="E23" s="115"/>
      <c r="F23" s="2" t="s">
        <v>44</v>
      </c>
      <c r="G23" s="1" t="str">
        <f>IF(F23="EVA","EVA",IFERROR((MATCH(F23,'Listas Evaluación'!A19:F19,0)-2)/4,""))</f>
        <v>EVA</v>
      </c>
      <c r="H23" s="78"/>
    </row>
    <row r="24" spans="2:8" ht="60" customHeight="1">
      <c r="B24" s="273"/>
      <c r="C24" s="116" t="s">
        <v>267</v>
      </c>
      <c r="D24" s="342" t="s">
        <v>154</v>
      </c>
      <c r="E24" s="115"/>
      <c r="F24" s="2" t="s">
        <v>44</v>
      </c>
      <c r="G24" s="1" t="str">
        <f>IF(F24="EVA","EVA",IFERROR((MATCH(F24,'Listas Evaluación'!A20:F20,0)-2)/4,""))</f>
        <v>EVA</v>
      </c>
      <c r="H24" s="78"/>
    </row>
    <row r="25" spans="2:8" ht="60" customHeight="1">
      <c r="B25" s="273"/>
      <c r="C25" s="116" t="s">
        <v>271</v>
      </c>
      <c r="D25" s="342" t="s">
        <v>169</v>
      </c>
      <c r="E25" s="115"/>
      <c r="F25" s="2" t="s">
        <v>44</v>
      </c>
      <c r="G25" s="1" t="str">
        <f>IF(F25="EVA","EVA",IFERROR((MATCH(F25,'Listas Evaluación'!A21:F21,0)-2)/4,""))</f>
        <v>EVA</v>
      </c>
      <c r="H25" s="78"/>
    </row>
    <row r="26" spans="2:8" ht="60" customHeight="1">
      <c r="B26" s="273"/>
      <c r="C26" s="116" t="s">
        <v>274</v>
      </c>
      <c r="D26" s="342" t="s">
        <v>208</v>
      </c>
      <c r="E26" s="115"/>
      <c r="F26" s="2" t="s">
        <v>44</v>
      </c>
      <c r="G26" s="1" t="str">
        <f>IF(F26="EVA","EVA",IFERROR((MATCH(F26,'Listas Evaluación'!A22:F22,0)-2)/4,""))</f>
        <v>EVA</v>
      </c>
      <c r="H26" s="78"/>
    </row>
    <row r="27" spans="2:8" ht="60" customHeight="1">
      <c r="B27" s="273"/>
      <c r="C27" s="116" t="s">
        <v>283</v>
      </c>
      <c r="D27" s="342" t="s">
        <v>154</v>
      </c>
      <c r="E27" s="115"/>
      <c r="F27" s="2" t="s">
        <v>44</v>
      </c>
      <c r="G27" s="1" t="str">
        <f>IF(F27="EVA","EVA",IFERROR((MATCH(F27,'Listas Evaluación'!A23:F23,0)-2)/4,""))</f>
        <v>EVA</v>
      </c>
      <c r="H27" s="78"/>
    </row>
    <row r="28" spans="2:8" ht="60" customHeight="1">
      <c r="B28" s="273"/>
      <c r="C28" s="116" t="s">
        <v>286</v>
      </c>
      <c r="D28" s="342" t="s">
        <v>169</v>
      </c>
      <c r="E28" s="115"/>
      <c r="F28" s="2" t="s">
        <v>44</v>
      </c>
      <c r="G28" s="1" t="str">
        <f>IF(F28="EVA","EVA",IFERROR((MATCH(F28,'Listas Evaluación'!A24:F24,0)-2)/4,""))</f>
        <v>EVA</v>
      </c>
      <c r="H28" s="78"/>
    </row>
    <row r="29" spans="2:8" ht="60" customHeight="1">
      <c r="B29" s="273"/>
      <c r="C29" s="116" t="s">
        <v>289</v>
      </c>
      <c r="D29" s="342" t="s">
        <v>250</v>
      </c>
      <c r="E29" s="115"/>
      <c r="F29" s="2" t="s">
        <v>44</v>
      </c>
      <c r="G29" s="1" t="str">
        <f>IF(F29="EVA","EVA",IFERROR((MATCH(F29,'Listas Evaluación'!A25:F25,0)-2)/4,""))</f>
        <v>EVA</v>
      </c>
      <c r="H29" s="78"/>
    </row>
    <row r="30" spans="2:8" ht="60" customHeight="1">
      <c r="B30" s="273"/>
      <c r="C30" s="116" t="s">
        <v>297</v>
      </c>
      <c r="D30" s="342" t="s">
        <v>154</v>
      </c>
      <c r="E30" s="115"/>
      <c r="F30" s="2" t="s">
        <v>44</v>
      </c>
      <c r="G30" s="1" t="str">
        <f>IF(F30="EVA","EVA",IFERROR((MATCH(F30,'Listas Evaluación'!A26:F26,0)-2)/4,""))</f>
        <v>EVA</v>
      </c>
      <c r="H30" s="78"/>
    </row>
    <row r="31" spans="2:8" ht="60" customHeight="1">
      <c r="B31" s="273"/>
      <c r="C31" s="114" t="s">
        <v>300</v>
      </c>
      <c r="D31" s="341" t="s">
        <v>169</v>
      </c>
      <c r="E31" s="115"/>
      <c r="F31" s="2" t="s">
        <v>44</v>
      </c>
      <c r="G31" s="1" t="str">
        <f>IF(F31="EVA","EVA",IFERROR((MATCH(F31,'Listas Evaluación'!A27:F27,0)-2)/4,""))</f>
        <v>EVA</v>
      </c>
      <c r="H31" s="78"/>
    </row>
    <row r="32" spans="2:8" ht="60" customHeight="1" thickBot="1">
      <c r="B32" s="274"/>
      <c r="C32" s="117" t="s">
        <v>303</v>
      </c>
      <c r="D32" s="343" t="s">
        <v>208</v>
      </c>
      <c r="E32" s="118"/>
      <c r="F32" s="102" t="s">
        <v>44</v>
      </c>
      <c r="G32" s="103" t="str">
        <f>IF(F32="EVA","EVA",IFERROR((MATCH(F32,'Listas Evaluación'!A28:F28,0)-2)/4,""))</f>
        <v>EVA</v>
      </c>
      <c r="H32" s="78"/>
    </row>
    <row r="33" spans="2:8" ht="60" customHeight="1">
      <c r="B33" s="275" t="s">
        <v>718</v>
      </c>
      <c r="C33" s="134" t="s">
        <v>310</v>
      </c>
      <c r="D33" s="344" t="s">
        <v>154</v>
      </c>
      <c r="E33" s="135"/>
      <c r="F33" s="8" t="s">
        <v>44</v>
      </c>
      <c r="G33" s="9" t="str">
        <f>IF(F33="EVA","EVA",IFERROR((MATCH(F33,'Listas Evaluación'!A29:F29,0)-2)/4,""))</f>
        <v>EVA</v>
      </c>
      <c r="H33" s="78"/>
    </row>
    <row r="34" spans="2:8" ht="60" customHeight="1">
      <c r="B34" s="276"/>
      <c r="C34" s="136" t="s">
        <v>313</v>
      </c>
      <c r="D34" s="345" t="s">
        <v>250</v>
      </c>
      <c r="E34" s="137"/>
      <c r="F34" s="2" t="s">
        <v>44</v>
      </c>
      <c r="G34" s="1" t="str">
        <f>IF(F34="EVA","EVA",IFERROR((MATCH(F34,'Listas Evaluación'!A30:F30,0)-2)/4,""))</f>
        <v>EVA</v>
      </c>
      <c r="H34" s="78"/>
    </row>
    <row r="35" spans="2:8" ht="60" customHeight="1">
      <c r="B35" s="276"/>
      <c r="C35" s="136" t="s">
        <v>316</v>
      </c>
      <c r="D35" s="345" t="s">
        <v>250</v>
      </c>
      <c r="E35" s="137"/>
      <c r="F35" s="2" t="s">
        <v>44</v>
      </c>
      <c r="G35" s="1" t="str">
        <f>IF(F35="EVA","EVA",IFERROR((MATCH(F35,'Listas Evaluación'!A31:F31,0)-2)/4,""))</f>
        <v>EVA</v>
      </c>
      <c r="H35" s="78"/>
    </row>
    <row r="36" spans="2:8" ht="60" customHeight="1">
      <c r="B36" s="276"/>
      <c r="C36" s="136" t="s">
        <v>321</v>
      </c>
      <c r="D36" s="345" t="s">
        <v>208</v>
      </c>
      <c r="E36" s="137"/>
      <c r="F36" s="2" t="s">
        <v>44</v>
      </c>
      <c r="G36" s="1" t="str">
        <f>IF(F36="EVA","EVA",IFERROR((MATCH(F36,'Listas Evaluación'!A32:F32,0)-2)/4,""))</f>
        <v>EVA</v>
      </c>
      <c r="H36" s="78"/>
    </row>
    <row r="37" spans="2:8" ht="60" customHeight="1">
      <c r="B37" s="276"/>
      <c r="C37" s="136" t="s">
        <v>324</v>
      </c>
      <c r="D37" s="345" t="s">
        <v>169</v>
      </c>
      <c r="E37" s="137"/>
      <c r="F37" s="2" t="s">
        <v>44</v>
      </c>
      <c r="G37" s="1" t="str">
        <f>IF(F37="EVA","EVA",IFERROR((MATCH(F37,'Listas Evaluación'!A33:F33,0)-2)/4,""))</f>
        <v>EVA</v>
      </c>
      <c r="H37" s="78"/>
    </row>
    <row r="38" spans="2:8" ht="60" customHeight="1">
      <c r="B38" s="276"/>
      <c r="C38" s="136" t="s">
        <v>331</v>
      </c>
      <c r="D38" s="345" t="s">
        <v>154</v>
      </c>
      <c r="E38" s="137"/>
      <c r="F38" s="2" t="s">
        <v>44</v>
      </c>
      <c r="G38" s="1" t="str">
        <f>IF(F38="EVA","EVA",IFERROR((MATCH(F38,'Listas Evaluación'!A34:F34,0)-2)/4,""))</f>
        <v>EVA</v>
      </c>
      <c r="H38" s="78"/>
    </row>
    <row r="39" spans="2:8" ht="60" customHeight="1">
      <c r="B39" s="276"/>
      <c r="C39" s="136" t="s">
        <v>334</v>
      </c>
      <c r="D39" s="345" t="s">
        <v>169</v>
      </c>
      <c r="E39" s="137"/>
      <c r="F39" s="2" t="s">
        <v>44</v>
      </c>
      <c r="G39" s="1" t="str">
        <f>IF(F39="EVA","EVA",IFERROR((MATCH(F39,'Listas Evaluación'!A35:F35,0)-2)/4,""))</f>
        <v>EVA</v>
      </c>
      <c r="H39" s="78"/>
    </row>
    <row r="40" spans="2:8" ht="60" customHeight="1">
      <c r="B40" s="276"/>
      <c r="C40" s="136" t="s">
        <v>337</v>
      </c>
      <c r="D40" s="345" t="s">
        <v>250</v>
      </c>
      <c r="E40" s="137"/>
      <c r="F40" s="2" t="s">
        <v>44</v>
      </c>
      <c r="G40" s="1" t="str">
        <f>IF(F40="EVA","EVA",IFERROR((MATCH(F40,'Listas Evaluación'!A36:F36,0)-2)/4,""))</f>
        <v>EVA</v>
      </c>
      <c r="H40" s="78"/>
    </row>
    <row r="41" spans="2:8" ht="60" customHeight="1">
      <c r="B41" s="276"/>
      <c r="C41" s="136" t="s">
        <v>346</v>
      </c>
      <c r="D41" s="345" t="s">
        <v>154</v>
      </c>
      <c r="E41" s="137"/>
      <c r="F41" s="2" t="s">
        <v>44</v>
      </c>
      <c r="G41" s="1" t="str">
        <f>IF(F41="EVA","EVA",IFERROR((MATCH(F41,'Listas Evaluación'!A37:F37,0)-2)/4,""))</f>
        <v>EVA</v>
      </c>
      <c r="H41" s="78"/>
    </row>
    <row r="42" spans="2:8" ht="60" customHeight="1">
      <c r="B42" s="276"/>
      <c r="C42" s="136" t="s">
        <v>349</v>
      </c>
      <c r="D42" s="345" t="s">
        <v>184</v>
      </c>
      <c r="E42" s="137"/>
      <c r="F42" s="2" t="s">
        <v>44</v>
      </c>
      <c r="G42" s="1" t="str">
        <f>IF(F42="EVA","EVA",IFERROR((MATCH(F42,'Listas Evaluación'!A38:F38,0)-2)/4,""))</f>
        <v>EVA</v>
      </c>
      <c r="H42" s="78"/>
    </row>
    <row r="43" spans="2:8" ht="60" customHeight="1" thickBot="1">
      <c r="B43" s="277"/>
      <c r="C43" s="138" t="s">
        <v>352</v>
      </c>
      <c r="D43" s="346" t="s">
        <v>250</v>
      </c>
      <c r="E43" s="139"/>
      <c r="F43" s="10" t="s">
        <v>44</v>
      </c>
      <c r="G43" s="11" t="str">
        <f>IF(F43="EVA","EVA",IFERROR((MATCH(F43,'Listas Evaluación'!A39:F39,0)-2)/4,""))</f>
        <v>EVA</v>
      </c>
      <c r="H43" s="78"/>
    </row>
    <row r="44" spans="2:8" ht="60" customHeight="1">
      <c r="B44" s="254" t="s">
        <v>719</v>
      </c>
      <c r="C44" s="122" t="s">
        <v>359</v>
      </c>
      <c r="D44" s="347" t="s">
        <v>154</v>
      </c>
      <c r="E44" s="123"/>
      <c r="F44" s="8" t="s">
        <v>44</v>
      </c>
      <c r="G44" s="9" t="str">
        <f>IF(F44="EVA","EVA",IFERROR((MATCH(F44,'Listas Evaluación'!A40:F40,0)-2)/4,""))</f>
        <v>EVA</v>
      </c>
      <c r="H44" s="78"/>
    </row>
    <row r="45" spans="2:8" ht="60" customHeight="1">
      <c r="B45" s="255"/>
      <c r="C45" s="124" t="s">
        <v>362</v>
      </c>
      <c r="D45" s="348" t="s">
        <v>169</v>
      </c>
      <c r="E45" s="125"/>
      <c r="F45" s="2" t="s">
        <v>44</v>
      </c>
      <c r="G45" s="1" t="str">
        <f>IF(F45="EVA","EVA",IFERROR((MATCH(F45,'Listas Evaluación'!A41:F41,0)-2)/4,""))</f>
        <v>EVA</v>
      </c>
      <c r="H45" s="78"/>
    </row>
    <row r="46" spans="2:8" ht="60" customHeight="1">
      <c r="B46" s="255"/>
      <c r="C46" s="124" t="s">
        <v>365</v>
      </c>
      <c r="D46" s="348" t="s">
        <v>169</v>
      </c>
      <c r="E46" s="125"/>
      <c r="F46" s="2" t="s">
        <v>44</v>
      </c>
      <c r="G46" s="1" t="str">
        <f>IF(F46="EVA","EVA",IFERROR((MATCH(F46,'Listas Evaluación'!A42:F42,0)-2)/4,""))</f>
        <v>EVA</v>
      </c>
      <c r="H46" s="78"/>
    </row>
    <row r="47" spans="2:8" ht="60" customHeight="1">
      <c r="B47" s="255"/>
      <c r="C47" s="124" t="s">
        <v>368</v>
      </c>
      <c r="D47" s="348" t="s">
        <v>184</v>
      </c>
      <c r="E47" s="125"/>
      <c r="F47" s="2" t="s">
        <v>44</v>
      </c>
      <c r="G47" s="1" t="str">
        <f>IF(F47="EVA","EVA",IFERROR((MATCH(F47,'Listas Evaluación'!A43:F43,0)-2)/4,""))</f>
        <v>EVA</v>
      </c>
      <c r="H47" s="78"/>
    </row>
    <row r="48" spans="2:8" ht="60" customHeight="1">
      <c r="B48" s="255"/>
      <c r="C48" s="124" t="s">
        <v>371</v>
      </c>
      <c r="D48" s="348" t="s">
        <v>208</v>
      </c>
      <c r="E48" s="125"/>
      <c r="F48" s="2" t="s">
        <v>44</v>
      </c>
      <c r="G48" s="1" t="str">
        <f>IF(F48="EVA","EVA",IFERROR((MATCH(F48,'Listas Evaluación'!A44:F44,0)-2)/4,""))</f>
        <v>EVA</v>
      </c>
      <c r="H48" s="78"/>
    </row>
    <row r="49" spans="2:8" ht="60" customHeight="1">
      <c r="B49" s="255"/>
      <c r="C49" s="124" t="s">
        <v>374</v>
      </c>
      <c r="D49" s="348" t="s">
        <v>154</v>
      </c>
      <c r="E49" s="125"/>
      <c r="F49" s="2" t="s">
        <v>44</v>
      </c>
      <c r="G49" s="1" t="str">
        <f>IF(F49="EVA","EVA",IFERROR((MATCH(F49,'Listas Evaluación'!A45:F45,0)-2)/4,""))</f>
        <v>EVA</v>
      </c>
      <c r="H49" s="78"/>
    </row>
    <row r="50" spans="2:8" ht="60" customHeight="1">
      <c r="B50" s="255"/>
      <c r="C50" s="124" t="s">
        <v>377</v>
      </c>
      <c r="D50" s="348" t="s">
        <v>250</v>
      </c>
      <c r="E50" s="125"/>
      <c r="F50" s="2" t="s">
        <v>44</v>
      </c>
      <c r="G50" s="1" t="str">
        <f>IF(F50="EVA","EVA",IFERROR((MATCH(F50,'Listas Evaluación'!A46:F46,0)-2)/4,""))</f>
        <v>EVA</v>
      </c>
      <c r="H50" s="78"/>
    </row>
    <row r="51" spans="2:8" ht="60" customHeight="1">
      <c r="B51" s="255"/>
      <c r="C51" s="124" t="s">
        <v>380</v>
      </c>
      <c r="D51" s="348" t="s">
        <v>169</v>
      </c>
      <c r="E51" s="125"/>
      <c r="F51" s="2" t="s">
        <v>44</v>
      </c>
      <c r="G51" s="1" t="str">
        <f>IF(F51="EVA","EVA",IFERROR((MATCH(F51,'Listas Evaluación'!A47:F47,0)-2)/4,""))</f>
        <v>EVA</v>
      </c>
      <c r="H51" s="78"/>
    </row>
    <row r="52" spans="2:8" ht="60" customHeight="1">
      <c r="B52" s="255"/>
      <c r="C52" s="124" t="s">
        <v>388</v>
      </c>
      <c r="D52" s="348" t="s">
        <v>154</v>
      </c>
      <c r="E52" s="125"/>
      <c r="F52" s="2" t="s">
        <v>44</v>
      </c>
      <c r="G52" s="1" t="str">
        <f>IF(F52="EVA","EVA",IFERROR((MATCH(F52,'Listas Evaluación'!A48:F48,0)-2)/4,""))</f>
        <v>EVA</v>
      </c>
      <c r="H52" s="78"/>
    </row>
    <row r="53" spans="2:8" ht="60" customHeight="1">
      <c r="B53" s="255"/>
      <c r="C53" s="124" t="s">
        <v>391</v>
      </c>
      <c r="D53" s="348" t="s">
        <v>184</v>
      </c>
      <c r="E53" s="125"/>
      <c r="F53" s="2" t="s">
        <v>44</v>
      </c>
      <c r="G53" s="1" t="str">
        <f>IF(F53="EVA","EVA",IFERROR((MATCH(F53,'Listas Evaluación'!A49:F49,0)-2)/4,""))</f>
        <v>EVA</v>
      </c>
      <c r="H53" s="78"/>
    </row>
    <row r="54" spans="2:8" ht="60" customHeight="1">
      <c r="B54" s="255"/>
      <c r="C54" s="124" t="s">
        <v>394</v>
      </c>
      <c r="D54" s="348" t="s">
        <v>184</v>
      </c>
      <c r="E54" s="125"/>
      <c r="F54" s="2" t="s">
        <v>44</v>
      </c>
      <c r="G54" s="1" t="str">
        <f>IF(F54="EVA","EVA",IFERROR((MATCH(F54,'Listas Evaluación'!A50:F50,0)-2)/4,""))</f>
        <v>EVA</v>
      </c>
      <c r="H54" s="78"/>
    </row>
    <row r="55" spans="2:8" ht="60" customHeight="1">
      <c r="B55" s="255"/>
      <c r="C55" s="124" t="s">
        <v>402</v>
      </c>
      <c r="D55" s="348" t="s">
        <v>154</v>
      </c>
      <c r="E55" s="125"/>
      <c r="F55" s="2" t="s">
        <v>44</v>
      </c>
      <c r="G55" s="1" t="str">
        <f>IF(F55="EVA","EVA",IFERROR((MATCH(F55,'Listas Evaluación'!A51:F51,0)-2)/4,""))</f>
        <v>EVA</v>
      </c>
      <c r="H55" s="78"/>
    </row>
    <row r="56" spans="2:8" ht="60" customHeight="1">
      <c r="B56" s="255"/>
      <c r="C56" s="124" t="s">
        <v>405</v>
      </c>
      <c r="D56" s="348" t="s">
        <v>250</v>
      </c>
      <c r="E56" s="125"/>
      <c r="F56" s="2" t="s">
        <v>44</v>
      </c>
      <c r="G56" s="1" t="str">
        <f>IF(F56="EVA","EVA",IFERROR((MATCH(F56,'Listas Evaluación'!A52:F52,0)-2)/4,""))</f>
        <v>EVA</v>
      </c>
      <c r="H56" s="78"/>
    </row>
    <row r="57" spans="2:8" ht="60" customHeight="1">
      <c r="B57" s="255"/>
      <c r="C57" s="124" t="s">
        <v>408</v>
      </c>
      <c r="D57" s="348" t="s">
        <v>410</v>
      </c>
      <c r="E57" s="125"/>
      <c r="F57" s="2" t="s">
        <v>44</v>
      </c>
      <c r="G57" s="1" t="str">
        <f>IF(F57="EVA","EVA",IFERROR((MATCH(F57,'Listas Evaluación'!A53:F53,0)-2)/4,""))</f>
        <v>EVA</v>
      </c>
      <c r="H57" s="78"/>
    </row>
    <row r="58" spans="2:8" ht="60" customHeight="1">
      <c r="B58" s="255"/>
      <c r="C58" s="124" t="s">
        <v>412</v>
      </c>
      <c r="D58" s="348" t="s">
        <v>169</v>
      </c>
      <c r="E58" s="125"/>
      <c r="F58" s="2" t="s">
        <v>44</v>
      </c>
      <c r="G58" s="1" t="str">
        <f>IF(F58="EVA","EVA",IFERROR((MATCH(F58,'Listas Evaluación'!A54:F54,0)-2)/4,""))</f>
        <v>EVA</v>
      </c>
      <c r="H58" s="78"/>
    </row>
    <row r="59" spans="2:8" ht="60" customHeight="1">
      <c r="B59" s="255"/>
      <c r="C59" s="124" t="s">
        <v>420</v>
      </c>
      <c r="D59" s="348" t="s">
        <v>154</v>
      </c>
      <c r="E59" s="125"/>
      <c r="F59" s="2" t="s">
        <v>44</v>
      </c>
      <c r="G59" s="1" t="str">
        <f>IF(F59="EVA","EVA",IFERROR((MATCH(F59,'Listas Evaluación'!A55:F55,0)-2)/4,""))</f>
        <v>EVA</v>
      </c>
      <c r="H59" s="78"/>
    </row>
    <row r="60" spans="2:8" ht="60" customHeight="1" thickBot="1">
      <c r="B60" s="256"/>
      <c r="C60" s="126" t="s">
        <v>423</v>
      </c>
      <c r="D60" s="349" t="s">
        <v>250</v>
      </c>
      <c r="E60" s="127"/>
      <c r="F60" s="10" t="s">
        <v>44</v>
      </c>
      <c r="G60" s="11" t="str">
        <f>IF(F60="EVA","EVA",IFERROR((MATCH(F60,'Listas Evaluación'!A56:F56,0)-2)/4,""))</f>
        <v>EVA</v>
      </c>
      <c r="H60" s="78"/>
    </row>
    <row r="61" spans="2:8" ht="60" customHeight="1">
      <c r="B61" s="257" t="s">
        <v>720</v>
      </c>
      <c r="C61" s="128" t="s">
        <v>430</v>
      </c>
      <c r="D61" s="350" t="s">
        <v>154</v>
      </c>
      <c r="E61" s="129"/>
      <c r="F61" s="8" t="s">
        <v>44</v>
      </c>
      <c r="G61" s="9" t="str">
        <f>IF(F61="EVA","EVA",IFERROR((MATCH(F61,'Listas Evaluación'!A57:F57,0)-2)/4,""))</f>
        <v>EVA</v>
      </c>
      <c r="H61" s="78"/>
    </row>
    <row r="62" spans="2:8" ht="60" customHeight="1">
      <c r="B62" s="258"/>
      <c r="C62" s="130" t="s">
        <v>433</v>
      </c>
      <c r="D62" s="351" t="s">
        <v>250</v>
      </c>
      <c r="E62" s="131"/>
      <c r="F62" s="2" t="s">
        <v>44</v>
      </c>
      <c r="G62" s="1" t="str">
        <f>IF(F62="EVA","EVA",IFERROR((MATCH(F62,'Listas Evaluación'!A58:F58,0)-2)/4,""))</f>
        <v>EVA</v>
      </c>
      <c r="H62" s="78"/>
    </row>
    <row r="63" spans="2:8" ht="60" customHeight="1">
      <c r="B63" s="258"/>
      <c r="C63" s="130" t="s">
        <v>436</v>
      </c>
      <c r="D63" s="351" t="s">
        <v>250</v>
      </c>
      <c r="E63" s="131"/>
      <c r="F63" s="2" t="s">
        <v>44</v>
      </c>
      <c r="G63" s="1" t="str">
        <f>IF(F63="EVA","EVA",IFERROR((MATCH(F63,'Listas Evaluación'!A59:F59,0)-2)/4,""))</f>
        <v>EVA</v>
      </c>
      <c r="H63" s="78"/>
    </row>
    <row r="64" spans="2:8" ht="60" customHeight="1">
      <c r="B64" s="258"/>
      <c r="C64" s="130" t="s">
        <v>443</v>
      </c>
      <c r="D64" s="351" t="s">
        <v>154</v>
      </c>
      <c r="E64" s="131"/>
      <c r="F64" s="2" t="s">
        <v>44</v>
      </c>
      <c r="G64" s="1" t="str">
        <f>IF(F64="EVA","EVA",IFERROR((MATCH(F64,'Listas Evaluación'!A60:F60,0)-2)/4,""))</f>
        <v>EVA</v>
      </c>
      <c r="H64" s="78"/>
    </row>
    <row r="65" spans="2:8" ht="60" customHeight="1">
      <c r="B65" s="258"/>
      <c r="C65" s="130" t="s">
        <v>446</v>
      </c>
      <c r="D65" s="351" t="s">
        <v>250</v>
      </c>
      <c r="E65" s="131"/>
      <c r="F65" s="2" t="s">
        <v>44</v>
      </c>
      <c r="G65" s="1" t="str">
        <f>IF(F65="EVA","EVA",IFERROR((MATCH(F65,'Listas Evaluación'!A61:F61,0)-2)/4,""))</f>
        <v>EVA</v>
      </c>
      <c r="H65" s="78"/>
    </row>
    <row r="66" spans="2:8" ht="60" customHeight="1">
      <c r="B66" s="258"/>
      <c r="C66" s="130" t="s">
        <v>449</v>
      </c>
      <c r="D66" s="351" t="s">
        <v>410</v>
      </c>
      <c r="E66" s="131"/>
      <c r="F66" s="2" t="s">
        <v>44</v>
      </c>
      <c r="G66" s="1" t="str">
        <f>IF(F66="EVA","EVA",IFERROR((MATCH(F66,'Listas Evaluación'!A62:F62,0)-2)/4,""))</f>
        <v>EVA</v>
      </c>
      <c r="H66" s="78"/>
    </row>
    <row r="67" spans="2:8" ht="60" customHeight="1">
      <c r="B67" s="258"/>
      <c r="C67" s="130" t="s">
        <v>452</v>
      </c>
      <c r="D67" s="351" t="s">
        <v>208</v>
      </c>
      <c r="E67" s="131"/>
      <c r="F67" s="2" t="s">
        <v>44</v>
      </c>
      <c r="G67" s="1" t="str">
        <f>IF(F67="EVA","EVA",IFERROR((MATCH(F67,'Listas Evaluación'!A63:F63,0)-2)/4,""))</f>
        <v>EVA</v>
      </c>
      <c r="H67" s="78"/>
    </row>
    <row r="68" spans="2:8" ht="60" customHeight="1">
      <c r="B68" s="258"/>
      <c r="C68" s="130" t="s">
        <v>455</v>
      </c>
      <c r="D68" s="351" t="s">
        <v>250</v>
      </c>
      <c r="E68" s="131"/>
      <c r="F68" s="2" t="s">
        <v>44</v>
      </c>
      <c r="G68" s="1" t="str">
        <f>IF(F68="EVA","EVA",IFERROR((MATCH(F68,'Listas Evaluación'!A64:F64,0)-2)/4,""))</f>
        <v>EVA</v>
      </c>
      <c r="H68" s="78"/>
    </row>
    <row r="69" spans="2:8" ht="60" customHeight="1">
      <c r="B69" s="258"/>
      <c r="C69" s="130" t="s">
        <v>462</v>
      </c>
      <c r="D69" s="351" t="s">
        <v>208</v>
      </c>
      <c r="E69" s="131"/>
      <c r="F69" s="2" t="s">
        <v>44</v>
      </c>
      <c r="G69" s="1" t="str">
        <f>IF(F69="EVA","EVA",IFERROR((MATCH(F69,'Listas Evaluación'!A65:F65,0)-2)/4,""))</f>
        <v>EVA</v>
      </c>
      <c r="H69" s="78"/>
    </row>
    <row r="70" spans="2:8" ht="60" customHeight="1">
      <c r="B70" s="258"/>
      <c r="C70" s="130" t="s">
        <v>465</v>
      </c>
      <c r="D70" s="351" t="s">
        <v>154</v>
      </c>
      <c r="E70" s="131"/>
      <c r="F70" s="2" t="s">
        <v>44</v>
      </c>
      <c r="G70" s="1" t="str">
        <f>IF(F70="EVA","EVA",IFERROR((MATCH(F70,'Listas Evaluación'!A66:F66,0)-2)/4,""))</f>
        <v>EVA</v>
      </c>
      <c r="H70" s="78"/>
    </row>
    <row r="71" spans="2:8" ht="60" customHeight="1">
      <c r="B71" s="258"/>
      <c r="C71" s="130" t="s">
        <v>472</v>
      </c>
      <c r="D71" s="351" t="s">
        <v>154</v>
      </c>
      <c r="E71" s="131"/>
      <c r="F71" s="2" t="s">
        <v>44</v>
      </c>
      <c r="G71" s="1" t="str">
        <f>IF(F71="EVA","EVA",IFERROR((MATCH(F71,'Listas Evaluación'!A67:F67,0)-2)/4,""))</f>
        <v>EVA</v>
      </c>
      <c r="H71" s="78"/>
    </row>
    <row r="72" spans="2:8" ht="60" customHeight="1" thickBot="1">
      <c r="B72" s="259"/>
      <c r="C72" s="132" t="s">
        <v>475</v>
      </c>
      <c r="D72" s="352" t="s">
        <v>184</v>
      </c>
      <c r="E72" s="133"/>
      <c r="F72" s="10" t="s">
        <v>44</v>
      </c>
      <c r="G72" s="11" t="str">
        <f>IF(F72="EVA","EVA",IFERROR((MATCH(F72,'Listas Evaluación'!A68:F68,0)-2)/4,""))</f>
        <v>EVA</v>
      </c>
      <c r="H72" s="78"/>
    </row>
    <row r="73" spans="2:8" ht="60" customHeight="1">
      <c r="B73" s="260" t="s">
        <v>721</v>
      </c>
      <c r="C73" s="140" t="s">
        <v>482</v>
      </c>
      <c r="D73" s="353" t="s">
        <v>154</v>
      </c>
      <c r="E73" s="141"/>
      <c r="F73" s="8" t="s">
        <v>44</v>
      </c>
      <c r="G73" s="9" t="str">
        <f>IF(F73="EVA","EVA",IFERROR((MATCH(F73,'Listas Evaluación'!A69:F69,0)-2)/4,""))</f>
        <v>EVA</v>
      </c>
      <c r="H73" s="78"/>
    </row>
    <row r="74" spans="2:8" ht="60" customHeight="1">
      <c r="B74" s="261"/>
      <c r="C74" s="142" t="s">
        <v>485</v>
      </c>
      <c r="D74" s="354" t="s">
        <v>169</v>
      </c>
      <c r="E74" s="143"/>
      <c r="F74" s="2" t="s">
        <v>44</v>
      </c>
      <c r="G74" s="1" t="str">
        <f>IF(F74="EVA","EVA",IFERROR((MATCH(F74,'Listas Evaluación'!A70:F70,0)-2)/4,""))</f>
        <v>EVA</v>
      </c>
      <c r="H74" s="78"/>
    </row>
    <row r="75" spans="2:8" ht="60" customHeight="1">
      <c r="B75" s="261"/>
      <c r="C75" s="142" t="s">
        <v>492</v>
      </c>
      <c r="D75" s="354" t="s">
        <v>169</v>
      </c>
      <c r="E75" s="143"/>
      <c r="F75" s="2" t="s">
        <v>44</v>
      </c>
      <c r="G75" s="1" t="str">
        <f>IF(F75="EVA","EVA",IFERROR((MATCH(F75,'Listas Evaluación'!A71:F71,0)-2)/4,""))</f>
        <v>EVA</v>
      </c>
      <c r="H75" s="78"/>
    </row>
    <row r="76" spans="2:8" ht="60" customHeight="1">
      <c r="B76" s="261"/>
      <c r="C76" s="142" t="s">
        <v>495</v>
      </c>
      <c r="D76" s="354" t="s">
        <v>208</v>
      </c>
      <c r="E76" s="143"/>
      <c r="F76" s="2" t="s">
        <v>44</v>
      </c>
      <c r="G76" s="1" t="str">
        <f>IF(F76="EVA","EVA",IFERROR((MATCH(F76,'Listas Evaluación'!A72:F72,0)-2)/4,""))</f>
        <v>EVA</v>
      </c>
      <c r="H76" s="78"/>
    </row>
    <row r="77" spans="2:8" ht="60" customHeight="1">
      <c r="B77" s="261"/>
      <c r="C77" s="142" t="s">
        <v>502</v>
      </c>
      <c r="D77" s="354" t="s">
        <v>154</v>
      </c>
      <c r="E77" s="143"/>
      <c r="F77" s="2" t="s">
        <v>44</v>
      </c>
      <c r="G77" s="1" t="str">
        <f>IF(F77="EVA","EVA",IFERROR((MATCH(F77,'Listas Evaluación'!A73:F73,0)-2)/4,""))</f>
        <v>EVA</v>
      </c>
      <c r="H77" s="78"/>
    </row>
    <row r="78" spans="2:8" ht="60" customHeight="1" thickBot="1">
      <c r="B78" s="262"/>
      <c r="C78" s="144" t="s">
        <v>505</v>
      </c>
      <c r="D78" s="355" t="s">
        <v>162</v>
      </c>
      <c r="E78" s="145"/>
      <c r="F78" s="10" t="s">
        <v>44</v>
      </c>
      <c r="G78" s="11" t="str">
        <f>IF(F78="EVA","EVA",IFERROR((MATCH(F78,'Listas Evaluación'!A74:F74,0)-2)/4,""))</f>
        <v>EVA</v>
      </c>
      <c r="H78" s="78"/>
    </row>
    <row r="79" spans="2:8" ht="60" customHeight="1">
      <c r="B79" s="263" t="s">
        <v>722</v>
      </c>
      <c r="C79" s="146" t="s">
        <v>512</v>
      </c>
      <c r="D79" s="356" t="s">
        <v>154</v>
      </c>
      <c r="E79" s="147"/>
      <c r="F79" s="8" t="s">
        <v>44</v>
      </c>
      <c r="G79" s="9" t="str">
        <f>IF(F79="EVA","EVA",IFERROR((MATCH(F79,'Listas Evaluación'!A75:F75,0)-2)/4,""))</f>
        <v>EVA</v>
      </c>
      <c r="H79" s="78"/>
    </row>
    <row r="80" spans="2:8" ht="60" customHeight="1">
      <c r="B80" s="264"/>
      <c r="C80" s="148" t="s">
        <v>515</v>
      </c>
      <c r="D80" s="357" t="s">
        <v>162</v>
      </c>
      <c r="E80" s="149"/>
      <c r="F80" s="2" t="s">
        <v>44</v>
      </c>
      <c r="G80" s="1" t="str">
        <f>IF(F80="EVA","EVA",IFERROR((MATCH(F80,'Listas Evaluación'!A76:F76,0)-2)/4,""))</f>
        <v>EVA</v>
      </c>
      <c r="H80" s="78"/>
    </row>
    <row r="81" spans="2:8" ht="60" customHeight="1">
      <c r="B81" s="264"/>
      <c r="C81" s="148" t="s">
        <v>522</v>
      </c>
      <c r="D81" s="357" t="s">
        <v>169</v>
      </c>
      <c r="E81" s="149"/>
      <c r="F81" s="2" t="s">
        <v>44</v>
      </c>
      <c r="G81" s="1" t="str">
        <f>IF(F81="EVA","EVA",IFERROR((MATCH(F81,'Listas Evaluación'!A77:F77,0)-2)/4,""))</f>
        <v>EVA</v>
      </c>
      <c r="H81" s="78"/>
    </row>
    <row r="82" spans="2:8" ht="60" customHeight="1">
      <c r="B82" s="264"/>
      <c r="C82" s="148" t="s">
        <v>525</v>
      </c>
      <c r="D82" s="357" t="s">
        <v>169</v>
      </c>
      <c r="E82" s="149"/>
      <c r="F82" s="2" t="s">
        <v>44</v>
      </c>
      <c r="G82" s="1" t="str">
        <f>IF(F82="EVA","EVA",IFERROR((MATCH(F82,'Listas Evaluación'!A78:F78,0)-2)/4,""))</f>
        <v>EVA</v>
      </c>
      <c r="H82" s="78"/>
    </row>
    <row r="83" spans="2:8" ht="60" customHeight="1">
      <c r="B83" s="264"/>
      <c r="C83" s="148" t="s">
        <v>528</v>
      </c>
      <c r="D83" s="357" t="s">
        <v>208</v>
      </c>
      <c r="E83" s="149"/>
      <c r="F83" s="2" t="s">
        <v>44</v>
      </c>
      <c r="G83" s="1" t="str">
        <f>IF(F83="EVA","EVA",IFERROR((MATCH(F83,'Listas Evaluación'!A79:F79,0)-2)/4,""))</f>
        <v>EVA</v>
      </c>
      <c r="H83" s="78"/>
    </row>
    <row r="84" spans="2:8" ht="60" customHeight="1">
      <c r="B84" s="264"/>
      <c r="C84" s="148" t="s">
        <v>536</v>
      </c>
      <c r="D84" s="357" t="s">
        <v>169</v>
      </c>
      <c r="E84" s="149"/>
      <c r="F84" s="2" t="s">
        <v>44</v>
      </c>
      <c r="G84" s="1" t="str">
        <f>IF(F84="EVA","EVA",IFERROR((MATCH(F84,'Listas Evaluación'!A80:F80,0)-2)/4,""))</f>
        <v>EVA</v>
      </c>
      <c r="H84" s="78"/>
    </row>
    <row r="85" spans="2:8" ht="60" customHeight="1">
      <c r="B85" s="264"/>
      <c r="C85" s="148" t="s">
        <v>539</v>
      </c>
      <c r="D85" s="357" t="s">
        <v>208</v>
      </c>
      <c r="E85" s="149"/>
      <c r="F85" s="2" t="s">
        <v>44</v>
      </c>
      <c r="G85" s="1" t="str">
        <f>IF(F85="EVA","EVA",IFERROR((MATCH(F85,'Listas Evaluación'!A81:F81,0)-2)/4,""))</f>
        <v>EVA</v>
      </c>
      <c r="H85" s="78"/>
    </row>
    <row r="86" spans="2:8" ht="60" customHeight="1" thickBot="1">
      <c r="B86" s="265"/>
      <c r="C86" s="150" t="s">
        <v>542</v>
      </c>
      <c r="D86" s="358" t="s">
        <v>169</v>
      </c>
      <c r="E86" s="151"/>
      <c r="F86" s="10" t="s">
        <v>44</v>
      </c>
      <c r="G86" s="11" t="str">
        <f>IF(F86="EVA","EVA",IFERROR((MATCH(F86,'Listas Evaluación'!A82:F82,0)-2)/4,""))</f>
        <v>EVA</v>
      </c>
      <c r="H86" s="78"/>
    </row>
    <row r="87" spans="2:8" ht="60" customHeight="1">
      <c r="B87" s="266" t="s">
        <v>723</v>
      </c>
      <c r="C87" s="152" t="s">
        <v>549</v>
      </c>
      <c r="D87" s="359" t="s">
        <v>250</v>
      </c>
      <c r="E87" s="153"/>
      <c r="F87" s="8" t="s">
        <v>44</v>
      </c>
      <c r="G87" s="9" t="str">
        <f>IF(F87="EVA","EVA",IFERROR((MATCH(F87,'Listas Evaluación'!A83:F83,0)-2)/4,""))</f>
        <v>EVA</v>
      </c>
      <c r="H87" s="78"/>
    </row>
    <row r="88" spans="2:8" ht="60" customHeight="1">
      <c r="B88" s="267"/>
      <c r="C88" s="154" t="s">
        <v>552</v>
      </c>
      <c r="D88" s="360" t="s">
        <v>410</v>
      </c>
      <c r="E88" s="155"/>
      <c r="F88" s="2" t="s">
        <v>44</v>
      </c>
      <c r="G88" s="1" t="str">
        <f>IF(F88="EVA","EVA",IFERROR((MATCH(F88,'Listas Evaluación'!A84:F84,0)-2)/4,""))</f>
        <v>EVA</v>
      </c>
      <c r="H88" s="78"/>
    </row>
    <row r="89" spans="2:8" ht="60" customHeight="1">
      <c r="B89" s="267"/>
      <c r="C89" s="154" t="s">
        <v>555</v>
      </c>
      <c r="D89" s="360" t="s">
        <v>250</v>
      </c>
      <c r="E89" s="155"/>
      <c r="F89" s="2" t="s">
        <v>44</v>
      </c>
      <c r="G89" s="1" t="str">
        <f>IF(F89="EVA","EVA",IFERROR((MATCH(F89,'Listas Evaluación'!A85:F85,0)-2)/4,""))</f>
        <v>EVA</v>
      </c>
      <c r="H89" s="78"/>
    </row>
    <row r="90" spans="2:8" ht="60" customHeight="1">
      <c r="B90" s="267"/>
      <c r="C90" s="154" t="s">
        <v>562</v>
      </c>
      <c r="D90" s="360" t="s">
        <v>250</v>
      </c>
      <c r="E90" s="155"/>
      <c r="F90" s="2" t="s">
        <v>44</v>
      </c>
      <c r="G90" s="1" t="str">
        <f>IF(F90="EVA","EVA",IFERROR((MATCH(F90,'Listas Evaluación'!A86:F86,0)-2)/4,""))</f>
        <v>EVA</v>
      </c>
      <c r="H90" s="78"/>
    </row>
    <row r="91" spans="2:8" ht="60" customHeight="1">
      <c r="B91" s="267"/>
      <c r="C91" s="154" t="s">
        <v>566</v>
      </c>
      <c r="D91" s="360" t="s">
        <v>208</v>
      </c>
      <c r="E91" s="155"/>
      <c r="F91" s="2" t="s">
        <v>44</v>
      </c>
      <c r="G91" s="1" t="str">
        <f>IF(F91="EVA","EVA",IFERROR((MATCH(F91,'Listas Evaluación'!A87:F87,0)-2)/4,""))</f>
        <v>EVA</v>
      </c>
      <c r="H91" s="78"/>
    </row>
    <row r="92" spans="2:8" ht="60" customHeight="1">
      <c r="B92" s="267"/>
      <c r="C92" s="154" t="s">
        <v>573</v>
      </c>
      <c r="D92" s="360" t="s">
        <v>208</v>
      </c>
      <c r="E92" s="155"/>
      <c r="F92" s="2" t="s">
        <v>44</v>
      </c>
      <c r="G92" s="1" t="str">
        <f>IF(F92="EVA","EVA",IFERROR((MATCH(F92,'Listas Evaluación'!A88:F88,0)-2)/4,""))</f>
        <v>EVA</v>
      </c>
      <c r="H92" s="78"/>
    </row>
    <row r="93" spans="2:8" ht="60" customHeight="1" thickBot="1">
      <c r="B93" s="268"/>
      <c r="C93" s="156" t="s">
        <v>576</v>
      </c>
      <c r="D93" s="361" t="s">
        <v>162</v>
      </c>
      <c r="E93" s="157"/>
      <c r="F93" s="10" t="s">
        <v>44</v>
      </c>
      <c r="G93" s="11" t="str">
        <f>IF(F93="EVA","EVA",IFERROR((MATCH(F93,'Listas Evaluación'!A89:F89,0)-2)/4,""))</f>
        <v>EVA</v>
      </c>
      <c r="H93" s="78"/>
    </row>
    <row r="94" spans="2:8" ht="60" customHeight="1">
      <c r="B94" s="242" t="s">
        <v>724</v>
      </c>
      <c r="C94" s="158" t="s">
        <v>584</v>
      </c>
      <c r="D94" s="362" t="s">
        <v>154</v>
      </c>
      <c r="E94" s="159"/>
      <c r="F94" s="8" t="s">
        <v>44</v>
      </c>
      <c r="G94" s="9" t="str">
        <f>IF(F94="EVA","EVA",IFERROR((MATCH(F94,'Listas Evaluación'!A90:F90,0)-2)/4,""))</f>
        <v>EVA</v>
      </c>
      <c r="H94" s="78"/>
    </row>
    <row r="95" spans="2:8" ht="60" customHeight="1">
      <c r="B95" s="243"/>
      <c r="C95" s="160" t="s">
        <v>587</v>
      </c>
      <c r="D95" s="363" t="s">
        <v>184</v>
      </c>
      <c r="E95" s="161"/>
      <c r="F95" s="2" t="s">
        <v>44</v>
      </c>
      <c r="G95" s="1" t="str">
        <f>IF(F95="EVA","EVA",IFERROR((MATCH(F95,'Listas Evaluación'!A91:F91,0)-2)/4,""))</f>
        <v>EVA</v>
      </c>
      <c r="H95" s="78"/>
    </row>
    <row r="96" spans="2:8" ht="60" customHeight="1">
      <c r="B96" s="243"/>
      <c r="C96" s="160" t="s">
        <v>594</v>
      </c>
      <c r="D96" s="363" t="s">
        <v>169</v>
      </c>
      <c r="E96" s="161"/>
      <c r="F96" s="2" t="s">
        <v>44</v>
      </c>
      <c r="G96" s="1" t="str">
        <f>IF(F96="EVA","EVA",IFERROR((MATCH(F96,'Listas Evaluación'!A92:F92,0)-2)/4,""))</f>
        <v>EVA</v>
      </c>
      <c r="H96" s="78"/>
    </row>
    <row r="97" spans="2:8" ht="60" customHeight="1">
      <c r="B97" s="243"/>
      <c r="C97" s="160" t="s">
        <v>597</v>
      </c>
      <c r="D97" s="363" t="s">
        <v>410</v>
      </c>
      <c r="E97" s="161"/>
      <c r="F97" s="2" t="s">
        <v>44</v>
      </c>
      <c r="G97" s="1" t="str">
        <f>IF(F97="EVA","EVA",IFERROR((MATCH(F97,'Listas Evaluación'!A93:F93,0)-2)/4,""))</f>
        <v>EVA</v>
      </c>
      <c r="H97" s="78"/>
    </row>
    <row r="98" spans="2:8" ht="60" customHeight="1" thickBot="1">
      <c r="B98" s="244"/>
      <c r="C98" s="162" t="s">
        <v>604</v>
      </c>
      <c r="D98" s="364" t="s">
        <v>154</v>
      </c>
      <c r="E98" s="163"/>
      <c r="F98" s="10" t="s">
        <v>44</v>
      </c>
      <c r="G98" s="11" t="str">
        <f>IF(F98="EVA","EVA",IFERROR((MATCH(F98,'Listas Evaluación'!A94:F94,0)-2)/4,""))</f>
        <v>EVA</v>
      </c>
      <c r="H98" s="78"/>
    </row>
    <row r="99" spans="2:8" ht="60" customHeight="1">
      <c r="B99" s="245" t="s">
        <v>725</v>
      </c>
      <c r="C99" s="164" t="s">
        <v>611</v>
      </c>
      <c r="D99" s="365" t="s">
        <v>184</v>
      </c>
      <c r="E99" s="165"/>
      <c r="F99" s="8" t="s">
        <v>44</v>
      </c>
      <c r="G99" s="9" t="str">
        <f>IF(F99="EVA","EVA",IFERROR((MATCH(F99,'Listas Evaluación'!A95:F95,0)-2)/4,""))</f>
        <v>EVA</v>
      </c>
      <c r="H99" s="78"/>
    </row>
    <row r="100" spans="2:8" ht="60" customHeight="1">
      <c r="B100" s="246"/>
      <c r="C100" s="166" t="s">
        <v>614</v>
      </c>
      <c r="D100" s="366" t="s">
        <v>184</v>
      </c>
      <c r="E100" s="167"/>
      <c r="F100" s="2" t="s">
        <v>44</v>
      </c>
      <c r="G100" s="1" t="str">
        <f>IF(F100="EVA","EVA",IFERROR((MATCH(F100,'Listas Evaluación'!A96:F96,0)-2)/4,""))</f>
        <v>EVA</v>
      </c>
      <c r="H100" s="78"/>
    </row>
    <row r="101" spans="2:8" ht="60" customHeight="1">
      <c r="B101" s="246"/>
      <c r="C101" s="166" t="s">
        <v>621</v>
      </c>
      <c r="D101" s="366" t="s">
        <v>162</v>
      </c>
      <c r="E101" s="167"/>
      <c r="F101" s="2" t="s">
        <v>44</v>
      </c>
      <c r="G101" s="1" t="str">
        <f>IF(F101="EVA","EVA",IFERROR((MATCH(F101,'Listas Evaluación'!A97:F97,0)-2)/4,""))</f>
        <v>EVA</v>
      </c>
      <c r="H101" s="78"/>
    </row>
    <row r="102" spans="2:8" ht="60" customHeight="1">
      <c r="B102" s="246"/>
      <c r="C102" s="166" t="s">
        <v>625</v>
      </c>
      <c r="D102" s="366" t="s">
        <v>410</v>
      </c>
      <c r="E102" s="167"/>
      <c r="F102" s="2" t="s">
        <v>44</v>
      </c>
      <c r="G102" s="1" t="str">
        <f>IF(F102="EVA","EVA",IFERROR((MATCH(F102,'Listas Evaluación'!A98:F98,0)-2)/4,""))</f>
        <v>EVA</v>
      </c>
      <c r="H102" s="78"/>
    </row>
    <row r="103" spans="2:8" ht="60" customHeight="1">
      <c r="B103" s="246"/>
      <c r="C103" s="166" t="s">
        <v>633</v>
      </c>
      <c r="D103" s="366" t="s">
        <v>169</v>
      </c>
      <c r="E103" s="167"/>
      <c r="F103" s="2" t="s">
        <v>44</v>
      </c>
      <c r="G103" s="1" t="str">
        <f>IF(F103="EVA","EVA",IFERROR((MATCH(F103,'Listas Evaluación'!A99:F99,0)-2)/4,""))</f>
        <v>EVA</v>
      </c>
      <c r="H103" s="78"/>
    </row>
    <row r="104" spans="2:8" ht="60" customHeight="1">
      <c r="B104" s="246"/>
      <c r="C104" s="166" t="s">
        <v>636</v>
      </c>
      <c r="D104" s="366" t="s">
        <v>208</v>
      </c>
      <c r="E104" s="167"/>
      <c r="F104" s="2" t="s">
        <v>44</v>
      </c>
      <c r="G104" s="1" t="str">
        <f>IF(F104="EVA","EVA",IFERROR((MATCH(F104,'Listas Evaluación'!A100:F100,0)-2)/4,""))</f>
        <v>EVA</v>
      </c>
      <c r="H104" s="78"/>
    </row>
    <row r="105" spans="2:8" ht="60" customHeight="1">
      <c r="B105" s="246"/>
      <c r="C105" s="166" t="s">
        <v>643</v>
      </c>
      <c r="D105" s="366" t="s">
        <v>169</v>
      </c>
      <c r="E105" s="167"/>
      <c r="F105" s="2" t="s">
        <v>44</v>
      </c>
      <c r="G105" s="1" t="str">
        <f>IF(F105="EVA","EVA",IFERROR((MATCH(F105,'Listas Evaluación'!A101:F101,0)-2)/4,""))</f>
        <v>EVA</v>
      </c>
      <c r="H105" s="78"/>
    </row>
    <row r="106" spans="2:8" ht="60" customHeight="1">
      <c r="B106" s="246"/>
      <c r="C106" s="166" t="s">
        <v>646</v>
      </c>
      <c r="D106" s="366" t="s">
        <v>162</v>
      </c>
      <c r="E106" s="167"/>
      <c r="F106" s="2" t="s">
        <v>44</v>
      </c>
      <c r="G106" s="1" t="str">
        <f>IF(F106="EVA","EVA",IFERROR((MATCH(F106,'Listas Evaluación'!A102:F102,0)-2)/4,""))</f>
        <v>EVA</v>
      </c>
      <c r="H106" s="78"/>
    </row>
    <row r="107" spans="2:8" ht="60" customHeight="1">
      <c r="B107" s="246"/>
      <c r="C107" s="166" t="s">
        <v>653</v>
      </c>
      <c r="D107" s="366" t="s">
        <v>162</v>
      </c>
      <c r="E107" s="167"/>
      <c r="F107" s="2" t="s">
        <v>44</v>
      </c>
      <c r="G107" s="1" t="str">
        <f>IF(F107="EVA","EVA",IFERROR((MATCH(F107,'Listas Evaluación'!A103:F103,0)-2)/4,""))</f>
        <v>EVA</v>
      </c>
      <c r="H107" s="78"/>
    </row>
    <row r="108" spans="2:8" ht="60" customHeight="1">
      <c r="B108" s="246"/>
      <c r="C108" s="166" t="s">
        <v>657</v>
      </c>
      <c r="D108" s="366" t="s">
        <v>169</v>
      </c>
      <c r="E108" s="167"/>
      <c r="F108" s="2" t="s">
        <v>44</v>
      </c>
      <c r="G108" s="1" t="str">
        <f>IF(F108="EVA","EVA",IFERROR((MATCH(F108,'Listas Evaluación'!A104:F104,0)-2)/4,""))</f>
        <v>EVA</v>
      </c>
      <c r="H108" s="78"/>
    </row>
    <row r="109" spans="2:8" ht="60" customHeight="1">
      <c r="B109" s="246"/>
      <c r="C109" s="166" t="s">
        <v>660</v>
      </c>
      <c r="D109" s="366" t="s">
        <v>208</v>
      </c>
      <c r="E109" s="167"/>
      <c r="F109" s="2" t="s">
        <v>44</v>
      </c>
      <c r="G109" s="1" t="str">
        <f>IF(F109="EVA","EVA",IFERROR((MATCH(F109,'Listas Evaluación'!A105:F105,0)-2)/4,""))</f>
        <v>EVA</v>
      </c>
      <c r="H109" s="78"/>
    </row>
    <row r="110" spans="2:8" ht="60" customHeight="1">
      <c r="B110" s="246"/>
      <c r="C110" s="166" t="s">
        <v>667</v>
      </c>
      <c r="D110" s="366" t="s">
        <v>162</v>
      </c>
      <c r="E110" s="167"/>
      <c r="F110" s="2" t="s">
        <v>44</v>
      </c>
      <c r="G110" s="1" t="str">
        <f>IF(F110="EVA","EVA",IFERROR((MATCH(F110,'Listas Evaluación'!A106:F106,0)-2)/4,""))</f>
        <v>EVA</v>
      </c>
      <c r="H110" s="78"/>
    </row>
    <row r="111" spans="2:8" ht="60" customHeight="1" thickBot="1">
      <c r="B111" s="247"/>
      <c r="C111" s="168" t="s">
        <v>670</v>
      </c>
      <c r="D111" s="367" t="s">
        <v>410</v>
      </c>
      <c r="E111" s="169"/>
      <c r="F111" s="10" t="s">
        <v>44</v>
      </c>
      <c r="G111" s="11" t="str">
        <f>IF(F111="EVA","EVA",IFERROR((MATCH(F111,'Listas Evaluación'!A107:F107,0)-2)/4,""))</f>
        <v>EVA</v>
      </c>
      <c r="H111" s="78"/>
    </row>
    <row r="112" spans="2:8" ht="60" customHeight="1">
      <c r="B112" s="248" t="s">
        <v>726</v>
      </c>
      <c r="C112" s="170" t="s">
        <v>677</v>
      </c>
      <c r="D112" s="368" t="s">
        <v>169</v>
      </c>
      <c r="E112" s="171"/>
      <c r="F112" s="8" t="s">
        <v>44</v>
      </c>
      <c r="G112" s="9" t="str">
        <f>IF(F112="EVA","EVA",IFERROR((MATCH(F112,'Listas Evaluación'!A108:F108,0)-2)/4,""))</f>
        <v>EVA</v>
      </c>
      <c r="H112" s="78"/>
    </row>
    <row r="113" spans="2:20" ht="60" customHeight="1">
      <c r="B113" s="249"/>
      <c r="C113" s="172" t="s">
        <v>680</v>
      </c>
      <c r="D113" s="369" t="s">
        <v>208</v>
      </c>
      <c r="E113" s="173"/>
      <c r="F113" s="2" t="s">
        <v>44</v>
      </c>
      <c r="G113" s="1" t="str">
        <f>IF(F113="EVA","EVA",IFERROR((MATCH(F113,'Listas Evaluación'!A109:F109,0)-2)/4,""))</f>
        <v>EVA</v>
      </c>
      <c r="H113" s="78"/>
    </row>
    <row r="114" spans="2:20" ht="60" customHeight="1">
      <c r="B114" s="249"/>
      <c r="C114" s="172" t="s">
        <v>687</v>
      </c>
      <c r="D114" s="369" t="s">
        <v>169</v>
      </c>
      <c r="E114" s="173"/>
      <c r="F114" s="2" t="s">
        <v>44</v>
      </c>
      <c r="G114" s="1" t="str">
        <f>IF(F114="EVA","EVA",IFERROR((MATCH(F114,'Listas Evaluación'!A110:F110,0)-2)/4,""))</f>
        <v>EVA</v>
      </c>
      <c r="H114" s="78"/>
    </row>
    <row r="115" spans="2:20" ht="60" customHeight="1">
      <c r="B115" s="249"/>
      <c r="C115" s="172" t="s">
        <v>694</v>
      </c>
      <c r="D115" s="369" t="s">
        <v>184</v>
      </c>
      <c r="E115" s="173"/>
      <c r="F115" s="2" t="s">
        <v>44</v>
      </c>
      <c r="G115" s="1" t="str">
        <f>IF(F115="EVA","EVA",IFERROR((MATCH(F115,'Listas Evaluación'!A111:F111,0)-2)/4,""))</f>
        <v>EVA</v>
      </c>
      <c r="H115" s="78"/>
    </row>
    <row r="116" spans="2:20" ht="60" customHeight="1">
      <c r="B116" s="249"/>
      <c r="C116" s="172" t="s">
        <v>697</v>
      </c>
      <c r="D116" s="369" t="s">
        <v>169</v>
      </c>
      <c r="E116" s="173"/>
      <c r="F116" s="2" t="s">
        <v>44</v>
      </c>
      <c r="G116" s="1" t="str">
        <f>IF(F116="EVA","EVA",IFERROR((MATCH(F116,'Listas Evaluación'!A112:F112,0)-2)/4,""))</f>
        <v>EVA</v>
      </c>
      <c r="H116" s="78"/>
    </row>
    <row r="117" spans="2:20" ht="60" customHeight="1">
      <c r="B117" s="249"/>
      <c r="C117" s="172" t="s">
        <v>704</v>
      </c>
      <c r="D117" s="369" t="s">
        <v>169</v>
      </c>
      <c r="E117" s="173"/>
      <c r="F117" s="2" t="s">
        <v>44</v>
      </c>
      <c r="G117" s="1" t="str">
        <f>IF(F117="EVA","EVA",IFERROR((MATCH(F117,'Listas Evaluación'!A113:F113,0)-2)/4,""))</f>
        <v>EVA</v>
      </c>
      <c r="H117" s="78"/>
    </row>
    <row r="118" spans="2:20" ht="60" customHeight="1">
      <c r="B118" s="249"/>
      <c r="C118" s="172" t="s">
        <v>711</v>
      </c>
      <c r="D118" s="369" t="s">
        <v>184</v>
      </c>
      <c r="E118" s="173"/>
      <c r="F118" s="2" t="s">
        <v>44</v>
      </c>
      <c r="G118" s="1" t="str">
        <f>IF(F118="EVA","EVA",IFERROR((MATCH(F118,'Listas Evaluación'!A114:F114,0)-2)/4,""))</f>
        <v>EVA</v>
      </c>
      <c r="H118" s="78"/>
    </row>
    <row r="119" spans="2:20" ht="60" customHeight="1" thickBot="1">
      <c r="B119" s="250"/>
      <c r="C119" s="174" t="s">
        <v>714</v>
      </c>
      <c r="D119" s="370" t="s">
        <v>169</v>
      </c>
      <c r="E119" s="175"/>
      <c r="F119" s="10" t="s">
        <v>44</v>
      </c>
      <c r="G119" s="11" t="str">
        <f>IF(F119="EVA","EVA",IFERROR((MATCH(F119,'Listas Evaluación'!A115:F115,0)-2)/4,""))</f>
        <v>EVA</v>
      </c>
      <c r="H119" s="78"/>
    </row>
    <row r="120" spans="2:20" ht="55.5" customHeight="1" thickBot="1">
      <c r="B120" s="251" t="s">
        <v>1393</v>
      </c>
      <c r="C120" s="176" t="s">
        <v>1314</v>
      </c>
      <c r="D120" s="371" t="s">
        <v>169</v>
      </c>
      <c r="E120" s="177"/>
      <c r="F120" s="95" t="s">
        <v>44</v>
      </c>
      <c r="G120" s="96" t="str">
        <f>IF(F120="EVA","EVA",IFERROR((MATCH(F120,'Listas Evaluación'!A116:F116,0)-2)/4,""))</f>
        <v>EVA</v>
      </c>
      <c r="H120" s="78"/>
      <c r="M120" s="98">
        <v>1</v>
      </c>
      <c r="N120" s="100" t="s">
        <v>1314</v>
      </c>
      <c r="O120" s="94" t="s">
        <v>1315</v>
      </c>
      <c r="P120" s="94" t="s">
        <v>1328</v>
      </c>
      <c r="Q120" s="94" t="s">
        <v>1329</v>
      </c>
      <c r="R120" s="94" t="s">
        <v>1330</v>
      </c>
      <c r="S120" s="94" t="s">
        <v>1331</v>
      </c>
      <c r="T120" s="94" t="s">
        <v>1332</v>
      </c>
    </row>
    <row r="121" spans="2:20" ht="55.5" customHeight="1" thickBot="1">
      <c r="B121" s="252"/>
      <c r="C121" s="178" t="s">
        <v>1302</v>
      </c>
      <c r="D121" s="372" t="s">
        <v>169</v>
      </c>
      <c r="E121" s="179"/>
      <c r="F121" s="2" t="s">
        <v>44</v>
      </c>
      <c r="G121" s="1" t="str">
        <f>IF(F121="EVA","EVA",IFERROR((MATCH(F121,'Listas Evaluación'!A117:F117,0)-2)/4,""))</f>
        <v>EVA</v>
      </c>
      <c r="H121" s="78"/>
      <c r="M121" s="98">
        <v>2</v>
      </c>
      <c r="N121" s="99" t="s">
        <v>1302</v>
      </c>
      <c r="O121" s="94" t="s">
        <v>1316</v>
      </c>
      <c r="P121" s="94" t="s">
        <v>1333</v>
      </c>
      <c r="Q121" s="94" t="s">
        <v>1334</v>
      </c>
      <c r="R121" s="94" t="s">
        <v>1335</v>
      </c>
      <c r="S121" s="94" t="s">
        <v>1336</v>
      </c>
      <c r="T121" s="94" t="s">
        <v>1337</v>
      </c>
    </row>
    <row r="122" spans="2:20" ht="55.5" customHeight="1" thickBot="1">
      <c r="B122" s="252"/>
      <c r="C122" s="178" t="s">
        <v>1303</v>
      </c>
      <c r="D122" s="372" t="s">
        <v>169</v>
      </c>
      <c r="E122" s="179"/>
      <c r="F122" s="2" t="s">
        <v>44</v>
      </c>
      <c r="G122" s="1" t="str">
        <f>IF(F122="EVA","EVA",IFERROR((MATCH(F122,'Listas Evaluación'!A118:F118,0)-2)/4,""))</f>
        <v>EVA</v>
      </c>
      <c r="H122" s="78"/>
      <c r="M122" s="98">
        <v>3</v>
      </c>
      <c r="N122" s="99" t="s">
        <v>1303</v>
      </c>
      <c r="O122" s="94" t="s">
        <v>1317</v>
      </c>
      <c r="P122" s="94" t="s">
        <v>1338</v>
      </c>
      <c r="Q122" s="94" t="s">
        <v>1339</v>
      </c>
      <c r="R122" s="94" t="s">
        <v>1340</v>
      </c>
      <c r="S122" s="94" t="s">
        <v>1341</v>
      </c>
      <c r="T122" s="94" t="s">
        <v>1342</v>
      </c>
    </row>
    <row r="123" spans="2:20" ht="55.5" customHeight="1" thickBot="1">
      <c r="B123" s="252"/>
      <c r="C123" s="178" t="s">
        <v>1304</v>
      </c>
      <c r="D123" s="372" t="s">
        <v>410</v>
      </c>
      <c r="E123" s="179"/>
      <c r="F123" s="2" t="s">
        <v>44</v>
      </c>
      <c r="G123" s="1" t="str">
        <f>IF(F123="EVA","EVA",IFERROR((MATCH(F123,'Listas Evaluación'!A119:F119,0)-2)/4,""))</f>
        <v>EVA</v>
      </c>
      <c r="H123" s="78"/>
      <c r="M123" s="98">
        <v>4</v>
      </c>
      <c r="N123" s="99" t="s">
        <v>1304</v>
      </c>
      <c r="O123" s="94" t="s">
        <v>1318</v>
      </c>
      <c r="P123" s="94" t="s">
        <v>1343</v>
      </c>
      <c r="Q123" s="94" t="s">
        <v>1344</v>
      </c>
      <c r="R123" s="94" t="s">
        <v>1345</v>
      </c>
      <c r="S123" s="94" t="s">
        <v>1346</v>
      </c>
      <c r="T123" s="94" t="s">
        <v>1347</v>
      </c>
    </row>
    <row r="124" spans="2:20" ht="55.5" customHeight="1" thickBot="1">
      <c r="B124" s="252"/>
      <c r="C124" s="178" t="s">
        <v>1305</v>
      </c>
      <c r="D124" s="372" t="s">
        <v>169</v>
      </c>
      <c r="E124" s="179"/>
      <c r="F124" s="2" t="s">
        <v>44</v>
      </c>
      <c r="G124" s="1" t="str">
        <f>IF(F124="EVA","EVA",IFERROR((MATCH(F124,'Listas Evaluación'!A120:F120,0)-2)/4,""))</f>
        <v>EVA</v>
      </c>
      <c r="H124" s="78"/>
      <c r="M124" s="98">
        <v>5</v>
      </c>
      <c r="N124" s="99" t="s">
        <v>1305</v>
      </c>
      <c r="O124" s="94" t="s">
        <v>1319</v>
      </c>
      <c r="P124" s="94" t="s">
        <v>1348</v>
      </c>
      <c r="Q124" s="94" t="s">
        <v>1349</v>
      </c>
      <c r="R124" s="94" t="s">
        <v>1350</v>
      </c>
      <c r="S124" s="94" t="s">
        <v>1351</v>
      </c>
      <c r="T124" s="94" t="s">
        <v>1352</v>
      </c>
    </row>
    <row r="125" spans="2:20" ht="55.5" customHeight="1" thickBot="1">
      <c r="B125" s="252"/>
      <c r="C125" s="178" t="s">
        <v>1306</v>
      </c>
      <c r="D125" s="372" t="s">
        <v>169</v>
      </c>
      <c r="E125" s="179"/>
      <c r="F125" s="2" t="s">
        <v>44</v>
      </c>
      <c r="G125" s="1" t="str">
        <f>IF(F125="EVA","EVA",IFERROR((MATCH(F125,'Listas Evaluación'!A121:F121,0)-2)/4,""))</f>
        <v>EVA</v>
      </c>
      <c r="H125" s="78"/>
      <c r="M125" s="98">
        <v>6</v>
      </c>
      <c r="N125" s="99" t="s">
        <v>1306</v>
      </c>
      <c r="O125" s="94" t="s">
        <v>1320</v>
      </c>
      <c r="P125" s="94" t="s">
        <v>1353</v>
      </c>
      <c r="Q125" s="94" t="s">
        <v>1354</v>
      </c>
      <c r="R125" s="94" t="s">
        <v>1355</v>
      </c>
      <c r="S125" s="94" t="s">
        <v>1356</v>
      </c>
      <c r="T125" s="94" t="s">
        <v>1357</v>
      </c>
    </row>
    <row r="126" spans="2:20" ht="55.5" customHeight="1" thickBot="1">
      <c r="B126" s="252"/>
      <c r="C126" s="178" t="s">
        <v>1307</v>
      </c>
      <c r="D126" s="372" t="s">
        <v>169</v>
      </c>
      <c r="E126" s="179"/>
      <c r="F126" s="2" t="s">
        <v>44</v>
      </c>
      <c r="G126" s="1" t="str">
        <f>IF(F126="EVA","EVA",IFERROR((MATCH(F126,'Listas Evaluación'!A122:F122,0)-2)/4,""))</f>
        <v>EVA</v>
      </c>
      <c r="H126" s="78"/>
      <c r="M126" s="98">
        <v>7</v>
      </c>
      <c r="N126" s="99" t="s">
        <v>1307</v>
      </c>
      <c r="O126" s="94" t="s">
        <v>1321</v>
      </c>
      <c r="P126" s="94" t="s">
        <v>1358</v>
      </c>
      <c r="Q126" s="94" t="s">
        <v>1359</v>
      </c>
      <c r="R126" s="94" t="s">
        <v>1360</v>
      </c>
      <c r="S126" s="94" t="s">
        <v>1361</v>
      </c>
      <c r="T126" s="94" t="s">
        <v>1362</v>
      </c>
    </row>
    <row r="127" spans="2:20" ht="55.5" customHeight="1" thickBot="1">
      <c r="B127" s="252"/>
      <c r="C127" s="178" t="s">
        <v>1308</v>
      </c>
      <c r="D127" s="372" t="s">
        <v>169</v>
      </c>
      <c r="E127" s="179"/>
      <c r="F127" s="2" t="s">
        <v>44</v>
      </c>
      <c r="G127" s="1" t="str">
        <f>IF(F127="EVA","EVA",IFERROR((MATCH(F127,'Listas Evaluación'!A123:F123,0)-2)/4,""))</f>
        <v>EVA</v>
      </c>
      <c r="H127" s="78"/>
      <c r="M127" s="98">
        <v>8</v>
      </c>
      <c r="N127" s="99" t="s">
        <v>1308</v>
      </c>
      <c r="O127" s="94" t="s">
        <v>1322</v>
      </c>
      <c r="P127" s="94" t="s">
        <v>1363</v>
      </c>
      <c r="Q127" s="94" t="s">
        <v>1364</v>
      </c>
      <c r="R127" s="94" t="s">
        <v>1365</v>
      </c>
      <c r="S127" s="94" t="s">
        <v>1366</v>
      </c>
      <c r="T127" s="94" t="s">
        <v>1367</v>
      </c>
    </row>
    <row r="128" spans="2:20" ht="55.5" customHeight="1" thickBot="1">
      <c r="B128" s="252"/>
      <c r="C128" s="178" t="s">
        <v>1309</v>
      </c>
      <c r="D128" s="372" t="s">
        <v>184</v>
      </c>
      <c r="E128" s="179"/>
      <c r="F128" s="2" t="s">
        <v>44</v>
      </c>
      <c r="G128" s="1" t="str">
        <f>IF(F128="EVA","EVA",IFERROR((MATCH(F128,'Listas Evaluación'!A124:F124,0)-2)/4,""))</f>
        <v>EVA</v>
      </c>
      <c r="H128" s="78"/>
      <c r="M128" s="98">
        <v>9</v>
      </c>
      <c r="N128" s="99" t="s">
        <v>1309</v>
      </c>
      <c r="O128" s="94" t="s">
        <v>1323</v>
      </c>
      <c r="P128" s="94" t="s">
        <v>1368</v>
      </c>
      <c r="Q128" s="94" t="s">
        <v>1369</v>
      </c>
      <c r="R128" s="94" t="s">
        <v>1370</v>
      </c>
      <c r="S128" s="94" t="s">
        <v>1371</v>
      </c>
      <c r="T128" s="94" t="s">
        <v>1372</v>
      </c>
    </row>
    <row r="129" spans="2:20" ht="55.5" customHeight="1" thickBot="1">
      <c r="B129" s="252"/>
      <c r="C129" s="178" t="s">
        <v>1310</v>
      </c>
      <c r="D129" s="372" t="s">
        <v>410</v>
      </c>
      <c r="E129" s="179"/>
      <c r="F129" s="2" t="s">
        <v>44</v>
      </c>
      <c r="G129" s="1" t="str">
        <f>IF(F129="EVA","EVA",IFERROR((MATCH(F129,'Listas Evaluación'!A125:F125,0)-2)/4,""))</f>
        <v>EVA</v>
      </c>
      <c r="H129" s="78"/>
      <c r="M129" s="98">
        <v>10</v>
      </c>
      <c r="N129" s="99" t="s">
        <v>1310</v>
      </c>
      <c r="O129" s="94" t="s">
        <v>1324</v>
      </c>
      <c r="P129" s="94" t="s">
        <v>1373</v>
      </c>
      <c r="Q129" s="94" t="s">
        <v>1374</v>
      </c>
      <c r="R129" s="94" t="s">
        <v>1375</v>
      </c>
      <c r="S129" s="94" t="s">
        <v>1376</v>
      </c>
      <c r="T129" s="94" t="s">
        <v>1377</v>
      </c>
    </row>
    <row r="130" spans="2:20" ht="55.5" customHeight="1" thickBot="1">
      <c r="B130" s="252"/>
      <c r="C130" s="178" t="s">
        <v>1311</v>
      </c>
      <c r="D130" s="372" t="s">
        <v>169</v>
      </c>
      <c r="E130" s="179"/>
      <c r="F130" s="2" t="s">
        <v>44</v>
      </c>
      <c r="G130" s="1" t="str">
        <f>IF(F130="EVA","EVA",IFERROR((MATCH(F130,'Listas Evaluación'!A126:F126,0)-2)/4,""))</f>
        <v>EVA</v>
      </c>
      <c r="H130" s="78"/>
      <c r="M130" s="98">
        <v>11</v>
      </c>
      <c r="N130" s="99" t="s">
        <v>1311</v>
      </c>
      <c r="O130" s="94" t="s">
        <v>1325</v>
      </c>
      <c r="P130" s="94" t="s">
        <v>1378</v>
      </c>
      <c r="Q130" s="94" t="s">
        <v>1379</v>
      </c>
      <c r="R130" s="94" t="s">
        <v>1380</v>
      </c>
      <c r="S130" s="94" t="s">
        <v>1381</v>
      </c>
      <c r="T130" s="94" t="s">
        <v>1382</v>
      </c>
    </row>
    <row r="131" spans="2:20" ht="55.5" customHeight="1" thickBot="1">
      <c r="B131" s="252"/>
      <c r="C131" s="178" t="s">
        <v>1312</v>
      </c>
      <c r="D131" s="372" t="s">
        <v>208</v>
      </c>
      <c r="E131" s="179"/>
      <c r="F131" s="2" t="s">
        <v>44</v>
      </c>
      <c r="G131" s="1" t="str">
        <f>IF(F131="EVA","EVA",IFERROR((MATCH(F131,'Listas Evaluación'!A127:F127,0)-2)/4,""))</f>
        <v>EVA</v>
      </c>
      <c r="H131" s="78"/>
      <c r="M131" s="98">
        <v>12</v>
      </c>
      <c r="N131" s="99" t="s">
        <v>1312</v>
      </c>
      <c r="O131" s="94" t="s">
        <v>1326</v>
      </c>
      <c r="P131" s="94" t="s">
        <v>1383</v>
      </c>
      <c r="Q131" s="94" t="s">
        <v>1384</v>
      </c>
      <c r="R131" s="94" t="s">
        <v>1385</v>
      </c>
      <c r="S131" s="94" t="s">
        <v>1386</v>
      </c>
      <c r="T131" s="94" t="s">
        <v>1387</v>
      </c>
    </row>
    <row r="132" spans="2:20" ht="55.5" customHeight="1" thickBot="1">
      <c r="B132" s="253"/>
      <c r="C132" s="180" t="s">
        <v>1313</v>
      </c>
      <c r="D132" s="373" t="s">
        <v>208</v>
      </c>
      <c r="E132" s="181"/>
      <c r="F132" s="10" t="s">
        <v>44</v>
      </c>
      <c r="G132" s="11" t="str">
        <f>IF(F132="EVA","EVA",IFERROR((MATCH(F132,'Listas Evaluación'!A128:F128,0)-2)/4,""))</f>
        <v>EVA</v>
      </c>
      <c r="H132" s="78"/>
      <c r="M132" s="98">
        <v>13</v>
      </c>
      <c r="N132" s="99" t="s">
        <v>1313</v>
      </c>
      <c r="O132" s="94" t="s">
        <v>1327</v>
      </c>
      <c r="P132" s="94" t="s">
        <v>1388</v>
      </c>
      <c r="Q132" s="94" t="s">
        <v>1389</v>
      </c>
      <c r="R132" s="94" t="s">
        <v>1390</v>
      </c>
      <c r="S132" s="94" t="s">
        <v>1391</v>
      </c>
      <c r="T132" s="94" t="s">
        <v>1392</v>
      </c>
    </row>
    <row r="133" spans="2:20" s="78" customFormat="1"/>
  </sheetData>
  <mergeCells count="13">
    <mergeCell ref="B5:B21"/>
    <mergeCell ref="B22:B32"/>
    <mergeCell ref="B33:B43"/>
    <mergeCell ref="B2:G2"/>
    <mergeCell ref="B94:B98"/>
    <mergeCell ref="B99:B111"/>
    <mergeCell ref="B112:B119"/>
    <mergeCell ref="B120:B132"/>
    <mergeCell ref="B44:B60"/>
    <mergeCell ref="B61:B72"/>
    <mergeCell ref="B73:B78"/>
    <mergeCell ref="B79:B86"/>
    <mergeCell ref="B87:B93"/>
  </mergeCells>
  <conditionalFormatting sqref="F5:F132">
    <cfRule type="expression" dxfId="24" priority="1">
      <formula>$F5="EVA"</formula>
    </cfRule>
    <cfRule type="expression" dxfId="23" priority="2">
      <formula>$F5="SI"</formula>
    </cfRule>
    <cfRule type="expression" dxfId="22" priority="3">
      <formula>$F5="NO"</formula>
    </cfRule>
  </conditionalFormatting>
  <conditionalFormatting sqref="G5:G132">
    <cfRule type="cellIs" dxfId="21" priority="4" operator="equal">
      <formula>100%</formula>
    </cfRule>
    <cfRule type="cellIs" dxfId="20" priority="5" operator="equal">
      <formula>75%</formula>
    </cfRule>
    <cfRule type="cellIs" dxfId="19" priority="6" operator="equal">
      <formula>50%</formula>
    </cfRule>
    <cfRule type="cellIs" dxfId="18" priority="7" operator="equal">
      <formula>25%</formula>
    </cfRule>
    <cfRule type="cellIs" dxfId="17" priority="8" operator="equal">
      <formula>0</formula>
    </cfRule>
    <cfRule type="containsText" dxfId="16" priority="9" operator="containsText" text="EVA">
      <formula>NOT(ISERROR(SEARCH("EVA",G5)))</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28">
        <x14:dataValidation type="list" allowBlank="1" showInputMessage="1" showErrorMessage="1" errorTitle="Valor no válido" error="Seleccione una opción de la lista." promptTitle="Respuesta requerida" prompt="Seleccione el nivel de cumplimiento que mejor describe la situación actual." xr:uid="{5AE5B60F-F875-4707-B3D6-AA6C065B58CD}">
          <x14:formula1>
            <xm:f>'Listas Evaluación'!$A$1:$F$1</xm:f>
          </x14:formula1>
          <xm:sqref>F5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108C7A8-AAA4-4ABD-917A-238324EF8EFA}">
          <x14:formula1>
            <xm:f>'Listas Evaluación'!$A$2:$F$2</xm:f>
          </x14:formula1>
          <xm:sqref>F6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0530C7C-134F-4056-913F-7A5BA3CE70E6}">
          <x14:formula1>
            <xm:f>'Listas Evaluación'!$A$3:$F$3</xm:f>
          </x14:formula1>
          <xm:sqref>F7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48EEF726-87FB-44CB-AEA4-9CA40BBB9489}">
          <x14:formula1>
            <xm:f>'Listas Evaluación'!$A$4:$F$4</xm:f>
          </x14:formula1>
          <xm:sqref>F8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327C508D-1C29-4118-97F2-D5424488F711}">
          <x14:formula1>
            <xm:f>'Listas Evaluación'!$A$5:$F$5</xm:f>
          </x14:formula1>
          <xm:sqref>F9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F917A28-B759-4A26-8C12-50307DE93356}">
          <x14:formula1>
            <xm:f>'Listas Evaluación'!$A$6:$F$6</xm:f>
          </x14:formula1>
          <xm:sqref>F10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BF5C53F-87DA-4CB8-8743-DEEF4BC018CE}">
          <x14:formula1>
            <xm:f>'Listas Evaluación'!$A$7:$F$7</xm:f>
          </x14:formula1>
          <xm:sqref>F11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9F5B283-7254-4B45-A906-2FC301CA1FC0}">
          <x14:formula1>
            <xm:f>'Listas Evaluación'!$A$8:$F$8</xm:f>
          </x14:formula1>
          <xm:sqref>F12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63A9E84-F92A-439B-B94C-ED6BB89A84ED}">
          <x14:formula1>
            <xm:f>'Listas Evaluación'!$A$9:$F$9</xm:f>
          </x14:formula1>
          <xm:sqref>F13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610CC2A-1B76-4647-BE47-8C95854529C7}">
          <x14:formula1>
            <xm:f>'Listas Evaluación'!$A$10:$F$10</xm:f>
          </x14:formula1>
          <xm:sqref>F14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E67ABA7C-068F-4C0E-A05F-713D72FF5DDA}">
          <x14:formula1>
            <xm:f>'Listas Evaluación'!$A$11:$F$11</xm:f>
          </x14:formula1>
          <xm:sqref>F15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8C4567E-E2F7-4A17-81ED-03C8C01336A8}">
          <x14:formula1>
            <xm:f>'Listas Evaluación'!$A$12:$F$12</xm:f>
          </x14:formula1>
          <xm:sqref>F16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3DBDB53F-6581-4173-AE88-0EAC647A2EE1}">
          <x14:formula1>
            <xm:f>'Listas Evaluación'!$A$13:$F$13</xm:f>
          </x14:formula1>
          <xm:sqref>F17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4DE3B6D2-D7B0-4E79-87C4-439CBC21686F}">
          <x14:formula1>
            <xm:f>'Listas Evaluación'!$A$14:$F$14</xm:f>
          </x14:formula1>
          <xm:sqref>F18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3578F4D-C723-45C5-9051-B21C83E68887}">
          <x14:formula1>
            <xm:f>'Listas Evaluación'!$A$15:$F$15</xm:f>
          </x14:formula1>
          <xm:sqref>F19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4108DE1-8688-4D1D-AB3F-7BE1E7424E19}">
          <x14:formula1>
            <xm:f>'Listas Evaluación'!$A$16:$F$16</xm:f>
          </x14:formula1>
          <xm:sqref>F20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E98E86CD-7A8D-4FDA-B2F9-FD85D3F34C9A}">
          <x14:formula1>
            <xm:f>'Listas Evaluación'!$A$17:$F$17</xm:f>
          </x14:formula1>
          <xm:sqref>F21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B82690C-E572-4D1C-858E-B27AA913BD47}">
          <x14:formula1>
            <xm:f>'Listas Evaluación'!$A$18:$F$18</xm:f>
          </x14:formula1>
          <xm:sqref>F22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CB359EB-3E91-40B9-946B-34E627D22596}">
          <x14:formula1>
            <xm:f>'Listas Evaluación'!$A$19:$F$19</xm:f>
          </x14:formula1>
          <xm:sqref>F23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1E0BD8C-2804-4CD2-ADEE-5D348F9043AD}">
          <x14:formula1>
            <xm:f>'Listas Evaluación'!$A$20:$F$20</xm:f>
          </x14:formula1>
          <xm:sqref>F24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84A5A5D-0C8D-4A04-A505-CE3E84ABD9EF}">
          <x14:formula1>
            <xm:f>'Listas Evaluación'!$A$21:$F$21</xm:f>
          </x14:formula1>
          <xm:sqref>F25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6248E42-11E3-46E9-9ADF-3B25754887B2}">
          <x14:formula1>
            <xm:f>'Listas Evaluación'!$A$22:$F$22</xm:f>
          </x14:formula1>
          <xm:sqref>F26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456375A-45D4-4FE2-AFA4-BF288FD6C7B7}">
          <x14:formula1>
            <xm:f>'Listas Evaluación'!$A$23:$F$23</xm:f>
          </x14:formula1>
          <xm:sqref>F27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AA848A2-BBEC-4947-B922-53BA5D403738}">
          <x14:formula1>
            <xm:f>'Listas Evaluación'!$A$24:$F$24</xm:f>
          </x14:formula1>
          <xm:sqref>F28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88F997C-5D8E-4845-8435-5A6FDBCF1DC4}">
          <x14:formula1>
            <xm:f>'Listas Evaluación'!$A$25:$F$25</xm:f>
          </x14:formula1>
          <xm:sqref>F29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A5096400-367B-4145-8838-4208F3091446}">
          <x14:formula1>
            <xm:f>'Listas Evaluación'!$A$26:$F$26</xm:f>
          </x14:formula1>
          <xm:sqref>F30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49CC6031-88DD-462C-9909-BBDD4006BEF2}">
          <x14:formula1>
            <xm:f>'Listas Evaluación'!$A$27:$F$27</xm:f>
          </x14:formula1>
          <xm:sqref>F31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E604C209-1865-46DC-BED6-294CDD8EC81B}">
          <x14:formula1>
            <xm:f>'Listas Evaluación'!$A$28:$F$28</xm:f>
          </x14:formula1>
          <xm:sqref>F32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3AFFF5C-A774-4718-B86A-CC8CFA36DFC2}">
          <x14:formula1>
            <xm:f>'Listas Evaluación'!$A$29:$F$29</xm:f>
          </x14:formula1>
          <xm:sqref>F33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509FEE0-A1B6-4C81-8F07-D12E7D312CE4}">
          <x14:formula1>
            <xm:f>'Listas Evaluación'!$A$30:$F$30</xm:f>
          </x14:formula1>
          <xm:sqref>F34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CFEE99B-C2F5-40DC-97AE-A3B5D1F99AF2}">
          <x14:formula1>
            <xm:f>'Listas Evaluación'!$A$31:$F$31</xm:f>
          </x14:formula1>
          <xm:sqref>F35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217E5EA-76BD-4CB6-BF2C-166AECDF615D}">
          <x14:formula1>
            <xm:f>'Listas Evaluación'!$A$32:$F$32</xm:f>
          </x14:formula1>
          <xm:sqref>F36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C55C35B-2084-4025-89E9-291BC41E6B71}">
          <x14:formula1>
            <xm:f>'Listas Evaluación'!$A$33:$F$33</xm:f>
          </x14:formula1>
          <xm:sqref>F37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BB81E33-EDA4-40C2-9612-EEE2C5E1048F}">
          <x14:formula1>
            <xm:f>'Listas Evaluación'!$A$34:$F$34</xm:f>
          </x14:formula1>
          <xm:sqref>F38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F405666-8FDE-4886-B32B-AA472865C0FD}">
          <x14:formula1>
            <xm:f>'Listas Evaluación'!$A$35:$F$35</xm:f>
          </x14:formula1>
          <xm:sqref>F39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6A334474-F0B3-4711-A828-93009485B7A3}">
          <x14:formula1>
            <xm:f>'Listas Evaluación'!$A$36:$F$36</xm:f>
          </x14:formula1>
          <xm:sqref>F40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A19252D-CBFA-4163-AFC4-EC89B0ED3441}">
          <x14:formula1>
            <xm:f>'Listas Evaluación'!$A$37:$F$37</xm:f>
          </x14:formula1>
          <xm:sqref>F41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AFE5B79B-CC22-4010-B9AF-FF1D831E2B8E}">
          <x14:formula1>
            <xm:f>'Listas Evaluación'!$A$38:$F$38</xm:f>
          </x14:formula1>
          <xm:sqref>F42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16094121-9234-4F54-A945-62F2A3DE778C}">
          <x14:formula1>
            <xm:f>'Listas Evaluación'!$A$39:$F$39</xm:f>
          </x14:formula1>
          <xm:sqref>F43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4C0FBE49-E4E5-479A-8888-26A71D8791F7}">
          <x14:formula1>
            <xm:f>'Listas Evaluación'!$A$40:$F$40</xm:f>
          </x14:formula1>
          <xm:sqref>F44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5F36C54-FB08-437F-AD23-389F6C889E53}">
          <x14:formula1>
            <xm:f>'Listas Evaluación'!$A$41:$F$41</xm:f>
          </x14:formula1>
          <xm:sqref>F45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E27F9B5-89F1-4F8B-8367-B4C81BA717E1}">
          <x14:formula1>
            <xm:f>'Listas Evaluación'!$A$42:$F$42</xm:f>
          </x14:formula1>
          <xm:sqref>F46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B4BB665-11C4-44BF-9B52-E5FA13EA75BE}">
          <x14:formula1>
            <xm:f>'Listas Evaluación'!$A$43:$F$43</xm:f>
          </x14:formula1>
          <xm:sqref>F47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F595A17-08EC-4F6E-9BBB-6B67440E63E2}">
          <x14:formula1>
            <xm:f>'Listas Evaluación'!$A$44:$F$44</xm:f>
          </x14:formula1>
          <xm:sqref>F48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6DCD7055-74B9-439B-90FF-F88A1A31AA50}">
          <x14:formula1>
            <xm:f>'Listas Evaluación'!$A$45:$F$45</xm:f>
          </x14:formula1>
          <xm:sqref>F49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E02A759-A63E-49D5-AEE3-207FC6773C6A}">
          <x14:formula1>
            <xm:f>'Listas Evaluación'!$A$46:$F$46</xm:f>
          </x14:formula1>
          <xm:sqref>F50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E3FEEAA-DA6A-4E3F-8677-9A7E6AC747C0}">
          <x14:formula1>
            <xm:f>'Listas Evaluación'!$A$47:$F$47</xm:f>
          </x14:formula1>
          <xm:sqref>F51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382FD89B-DFB9-465B-8B96-A1FA0467FEB3}">
          <x14:formula1>
            <xm:f>'Listas Evaluación'!$A$48:$F$48</xm:f>
          </x14:formula1>
          <xm:sqref>F52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57C807A-D3B3-49B7-8CAC-F0CA26ECC775}">
          <x14:formula1>
            <xm:f>'Listas Evaluación'!$A$49:$F$49</xm:f>
          </x14:formula1>
          <xm:sqref>F53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394E500-C3D8-42CA-9089-C99DC90515AF}">
          <x14:formula1>
            <xm:f>'Listas Evaluación'!$A$50:$F$50</xm:f>
          </x14:formula1>
          <xm:sqref>F54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D1BF2C0-2FD4-4BE9-AE41-DE9856B4AAA8}">
          <x14:formula1>
            <xm:f>'Listas Evaluación'!$A$51:$F$51</xm:f>
          </x14:formula1>
          <xm:sqref>F55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BF71C24-9AEF-4ED3-8F9E-BCEF8FACBF1E}">
          <x14:formula1>
            <xm:f>'Listas Evaluación'!$A$52:$F$52</xm:f>
          </x14:formula1>
          <xm:sqref>F56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AD5468F-A79D-46AD-890B-C3AEBB4751BA}">
          <x14:formula1>
            <xm:f>'Listas Evaluación'!$A$53:$F$53</xm:f>
          </x14:formula1>
          <xm:sqref>F57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D4963E7-4449-4A87-9810-C4C58A85A1D5}">
          <x14:formula1>
            <xm:f>'Listas Evaluación'!$A$54:$F$54</xm:f>
          </x14:formula1>
          <xm:sqref>F58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439B489-78A0-4E36-8D4B-C248EB262E6D}">
          <x14:formula1>
            <xm:f>'Listas Evaluación'!$A$55:$F$55</xm:f>
          </x14:formula1>
          <xm:sqref>F59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BE9D673-07FE-47D0-9DB9-2E0F5FD657B0}">
          <x14:formula1>
            <xm:f>'Listas Evaluación'!$A$56:$F$56</xm:f>
          </x14:formula1>
          <xm:sqref>F60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3C805AD-D79E-4CEA-8BF5-BD27C68A46EE}">
          <x14:formula1>
            <xm:f>'Listas Evaluación'!$A$57:$F$57</xm:f>
          </x14:formula1>
          <xm:sqref>F61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835827C-71B2-4216-B440-D304F8A8FE30}">
          <x14:formula1>
            <xm:f>'Listas Evaluación'!$A$58:$F$58</xm:f>
          </x14:formula1>
          <xm:sqref>F62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AFF7253-0275-4B5B-874C-8DB4C849B701}">
          <x14:formula1>
            <xm:f>'Listas Evaluación'!$A$59:$F$59</xm:f>
          </x14:formula1>
          <xm:sqref>F63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2B34851-765C-4427-A197-3FB4154D0336}">
          <x14:formula1>
            <xm:f>'Listas Evaluación'!$A$60:$F$60</xm:f>
          </x14:formula1>
          <xm:sqref>F64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AA815F7-361A-4DCC-BFC7-3E80E3033908}">
          <x14:formula1>
            <xm:f>'Listas Evaluación'!$A$61:$F$61</xm:f>
          </x14:formula1>
          <xm:sqref>F65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95212BB-0CD4-4288-A441-3FCB771BBE36}">
          <x14:formula1>
            <xm:f>'Listas Evaluación'!$A$62:$F$62</xm:f>
          </x14:formula1>
          <xm:sqref>F66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5FBEB1F-B4EF-4E58-B635-E9EA8C675968}">
          <x14:formula1>
            <xm:f>'Listas Evaluación'!$A$63:$F$63</xm:f>
          </x14:formula1>
          <xm:sqref>F67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7BCDD12-70B5-4996-82A5-D6D5389DAF22}">
          <x14:formula1>
            <xm:f>'Listas Evaluación'!$A$64:$F$64</xm:f>
          </x14:formula1>
          <xm:sqref>F68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0C6A218-4558-400C-8202-2A5440B96074}">
          <x14:formula1>
            <xm:f>'Listas Evaluación'!$A$65:$F$65</xm:f>
          </x14:formula1>
          <xm:sqref>F69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5C180FC-833B-411A-A295-5992EA2BDB9A}">
          <x14:formula1>
            <xm:f>'Listas Evaluación'!$A$66:$F$66</xm:f>
          </x14:formula1>
          <xm:sqref>F70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6000DCFE-3D57-473E-9AF4-9E042E4576B3}">
          <x14:formula1>
            <xm:f>'Listas Evaluación'!$A$67:$F$67</xm:f>
          </x14:formula1>
          <xm:sqref>F71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A3A79C9-FCE3-4978-8846-41D0E1262CFF}">
          <x14:formula1>
            <xm:f>'Listas Evaluación'!$A$68:$F$68</xm:f>
          </x14:formula1>
          <xm:sqref>F72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368FECD6-FF47-45A4-BA7E-2CDDF31F443A}">
          <x14:formula1>
            <xm:f>'Listas Evaluación'!$A$69:$F$69</xm:f>
          </x14:formula1>
          <xm:sqref>F73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2B06F6A-8BA1-41DC-8A28-8247396AD3AF}">
          <x14:formula1>
            <xm:f>'Listas Evaluación'!$A$70:$F$70</xm:f>
          </x14:formula1>
          <xm:sqref>F74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8A23AE6-487C-45D7-AE07-345F62F41BF4}">
          <x14:formula1>
            <xm:f>'Listas Evaluación'!$A$71:$F$71</xm:f>
          </x14:formula1>
          <xm:sqref>F75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58A9FD5-7DF2-45D4-B818-735115A8DE3A}">
          <x14:formula1>
            <xm:f>'Listas Evaluación'!$A$72:$F$72</xm:f>
          </x14:formula1>
          <xm:sqref>F76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EE8673F-DD06-4E60-989C-3FCDCCE83141}">
          <x14:formula1>
            <xm:f>'Listas Evaluación'!$A$73:$F$73</xm:f>
          </x14:formula1>
          <xm:sqref>F77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27F4605-8461-4732-8060-5D535D875E80}">
          <x14:formula1>
            <xm:f>'Listas Evaluación'!$A$74:$F$74</xm:f>
          </x14:formula1>
          <xm:sqref>F78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0F83D71-6304-4370-B988-37BE2968E216}">
          <x14:formula1>
            <xm:f>'Listas Evaluación'!$A$75:$F$75</xm:f>
          </x14:formula1>
          <xm:sqref>F79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A694BD01-D5F6-42B1-8D5D-8523EB97E022}">
          <x14:formula1>
            <xm:f>'Listas Evaluación'!$A$76:$F$76</xm:f>
          </x14:formula1>
          <xm:sqref>F80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B26FE72-6DF8-4C7D-AD0D-B8407DB6A8C3}">
          <x14:formula1>
            <xm:f>'Listas Evaluación'!$A$77:$F$77</xm:f>
          </x14:formula1>
          <xm:sqref>F81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AD3CD771-8695-48CA-A67D-39E4F4F8AEB9}">
          <x14:formula1>
            <xm:f>'Listas Evaluación'!$A$78:$F$78</xm:f>
          </x14:formula1>
          <xm:sqref>F82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E5013A1-3845-4230-A969-C62FE4DAFBAA}">
          <x14:formula1>
            <xm:f>'Listas Evaluación'!$A$79:$F$79</xm:f>
          </x14:formula1>
          <xm:sqref>F83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635CFACE-A82B-486E-B1F7-793263038A30}">
          <x14:formula1>
            <xm:f>'Listas Evaluación'!$A$80:$F$80</xm:f>
          </x14:formula1>
          <xm:sqref>F84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B623F15-8926-42A5-96EC-3B618297C980}">
          <x14:formula1>
            <xm:f>'Listas Evaluación'!$A$81:$F$81</xm:f>
          </x14:formula1>
          <xm:sqref>F85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F46B6DD-E867-47C6-84F7-D83B8A2BFA9A}">
          <x14:formula1>
            <xm:f>'Listas Evaluación'!$A$82:$F$82</xm:f>
          </x14:formula1>
          <xm:sqref>F86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0CFC54F-FFD8-409A-8461-5C5802F1E055}">
          <x14:formula1>
            <xm:f>'Listas Evaluación'!$A$83:$F$83</xm:f>
          </x14:formula1>
          <xm:sqref>F87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E2DB38A7-B06A-47D3-A3D9-ED1DC9B1DE53}">
          <x14:formula1>
            <xm:f>'Listas Evaluación'!$A$84:$F$84</xm:f>
          </x14:formula1>
          <xm:sqref>F88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2E7CA25-CED7-4D8A-A567-08BC3791AD92}">
          <x14:formula1>
            <xm:f>'Listas Evaluación'!$A$85:$F$85</xm:f>
          </x14:formula1>
          <xm:sqref>F89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D2A6D70-3151-4951-9412-A712246D47E4}">
          <x14:formula1>
            <xm:f>'Listas Evaluación'!$A$86:$F$86</xm:f>
          </x14:formula1>
          <xm:sqref>F90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F99A3EF-6B9D-4ED4-8DC7-C48B34FE8200}">
          <x14:formula1>
            <xm:f>'Listas Evaluación'!$A$87:$F$87</xm:f>
          </x14:formula1>
          <xm:sqref>F91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E02A7520-64CC-49CB-B58A-9A599815A204}">
          <x14:formula1>
            <xm:f>'Listas Evaluación'!$A$88:$F$88</xm:f>
          </x14:formula1>
          <xm:sqref>F92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64959E8-064C-4255-A7AA-D325D695716E}">
          <x14:formula1>
            <xm:f>'Listas Evaluación'!$A$89:$F$89</xm:f>
          </x14:formula1>
          <xm:sqref>F93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39FE749E-CB4D-4830-B4BE-7DB7F05196AB}">
          <x14:formula1>
            <xm:f>'Listas Evaluación'!$A$90:$F$90</xm:f>
          </x14:formula1>
          <xm:sqref>F94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EB32D0DF-3D68-4FC5-91C5-DFB2FB466E26}">
          <x14:formula1>
            <xm:f>'Listas Evaluación'!$A$91:$F$91</xm:f>
          </x14:formula1>
          <xm:sqref>F95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0E63D2D-0DA3-43F7-87C4-4B04CAF45228}">
          <x14:formula1>
            <xm:f>'Listas Evaluación'!$A$92:$F$92</xm:f>
          </x14:formula1>
          <xm:sqref>F96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5022C47-19F2-4AA6-B237-2B0B4FCF6276}">
          <x14:formula1>
            <xm:f>'Listas Evaluación'!$A$93:$F$93</xm:f>
          </x14:formula1>
          <xm:sqref>F97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050A3B2-AF41-41AB-8DE8-665BDAE7BFC8}">
          <x14:formula1>
            <xm:f>'Listas Evaluación'!$A$94:$F$94</xm:f>
          </x14:formula1>
          <xm:sqref>F98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E37651D6-387E-4147-854E-3DB618C23F6A}">
          <x14:formula1>
            <xm:f>'Listas Evaluación'!$A$95:$F$95</xm:f>
          </x14:formula1>
          <xm:sqref>F99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0FE6BCF-9235-4B82-9F13-A35666C99E9A}">
          <x14:formula1>
            <xm:f>'Listas Evaluación'!$A$96:$F$96</xm:f>
          </x14:formula1>
          <xm:sqref>F100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FDAA102-8C39-4EB6-8331-4709707C0E72}">
          <x14:formula1>
            <xm:f>'Listas Evaluación'!$A$97:$F$97</xm:f>
          </x14:formula1>
          <xm:sqref>F101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3499FAF-1548-415F-8EAA-9707E099D30B}">
          <x14:formula1>
            <xm:f>'Listas Evaluación'!$A$98:$F$98</xm:f>
          </x14:formula1>
          <xm:sqref>F102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20FB279-D00D-4909-B621-EF82DCD3A243}">
          <x14:formula1>
            <xm:f>'Listas Evaluación'!$A$99:$F$99</xm:f>
          </x14:formula1>
          <xm:sqref>F103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660792DC-52F3-4719-BF62-0C042B984651}">
          <x14:formula1>
            <xm:f>'Listas Evaluación'!$A$100:$F$100</xm:f>
          </x14:formula1>
          <xm:sqref>F104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85F3F8E-4DA3-4165-B8E4-78B17E08DE69}">
          <x14:formula1>
            <xm:f>'Listas Evaluación'!$A$101:$F$101</xm:f>
          </x14:formula1>
          <xm:sqref>F105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A8E2EBB4-9BAB-47BE-B9D6-B3842E71ACC3}">
          <x14:formula1>
            <xm:f>'Listas Evaluación'!$A$102:$F$102</xm:f>
          </x14:formula1>
          <xm:sqref>F106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3CF5213-B5D3-4170-8300-C7C223347224}">
          <x14:formula1>
            <xm:f>'Listas Evaluación'!$A$103:$F$103</xm:f>
          </x14:formula1>
          <xm:sqref>F107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9D7C652-694B-4E92-B45D-ED53C98E5C14}">
          <x14:formula1>
            <xm:f>'Listas Evaluación'!$A$104:$F$104</xm:f>
          </x14:formula1>
          <xm:sqref>F108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63943AE-420B-4777-B347-1FEEA6EE827D}">
          <x14:formula1>
            <xm:f>'Listas Evaluación'!$A$105:$F$105</xm:f>
          </x14:formula1>
          <xm:sqref>F109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0E70B28-8534-4436-B914-AC58BBEA7BF2}">
          <x14:formula1>
            <xm:f>'Listas Evaluación'!$A$106:$F$106</xm:f>
          </x14:formula1>
          <xm:sqref>F110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F1F2CF6-FD6F-4E00-9054-13940BFE6082}">
          <x14:formula1>
            <xm:f>'Listas Evaluación'!$A$107:$F$107</xm:f>
          </x14:formula1>
          <xm:sqref>F111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79345CC-F706-4437-BB35-826E7944861F}">
          <x14:formula1>
            <xm:f>'Listas Evaluación'!$A$108:$F$108</xm:f>
          </x14:formula1>
          <xm:sqref>F112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E890E33-F90A-460C-B64F-544FEB134FFE}">
          <x14:formula1>
            <xm:f>'Listas Evaluación'!$A$109:$F$109</xm:f>
          </x14:formula1>
          <xm:sqref>F113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87A65C0-3269-41EA-A144-D335815962D2}">
          <x14:formula1>
            <xm:f>'Listas Evaluación'!$A$110:$F$110</xm:f>
          </x14:formula1>
          <xm:sqref>F114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1C35FBF-5AA3-42B5-8BCC-58019E6DB535}">
          <x14:formula1>
            <xm:f>'Listas Evaluación'!$A$111:$F$111</xm:f>
          </x14:formula1>
          <xm:sqref>F115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D5373638-BEC3-4FC9-B962-DDDD181B6407}">
          <x14:formula1>
            <xm:f>'Listas Evaluación'!$A$112:$F$112</xm:f>
          </x14:formula1>
          <xm:sqref>F116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3E7A4BF6-6642-47DB-A975-90BD899707B4}">
          <x14:formula1>
            <xm:f>'Listas Evaluación'!$A$113:$F$113</xm:f>
          </x14:formula1>
          <xm:sqref>F117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85F3527-4E62-4278-89DF-FF1DEF079E68}">
          <x14:formula1>
            <xm:f>'Listas Evaluación'!$A$114:$F$114</xm:f>
          </x14:formula1>
          <xm:sqref>F118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FD1D6063-FC24-4BAB-9274-4A2743423178}">
          <x14:formula1>
            <xm:f>'Listas Evaluación'!$A$115:$F$115</xm:f>
          </x14:formula1>
          <xm:sqref>F119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C5E9A76-7C91-4B9F-96CB-7C803D2DCC84}">
          <x14:formula1>
            <xm:f>'Listas Evaluación'!$A$116:$F$116</xm:f>
          </x14:formula1>
          <xm:sqref>F120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C11F584E-6C1C-4C5E-A30C-7E9541B9E248}">
          <x14:formula1>
            <xm:f>'Listas Evaluación'!$A$117:$F$117</xm:f>
          </x14:formula1>
          <xm:sqref>F121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A25F644B-47A9-4C48-913F-07B6F63DACD5}">
          <x14:formula1>
            <xm:f>'Listas Evaluación'!$A$118:$F$118</xm:f>
          </x14:formula1>
          <xm:sqref>F122</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C822B57-3D6E-4AF0-A684-39DD2871D5BB}">
          <x14:formula1>
            <xm:f>'Listas Evaluación'!$A$119:$F$119</xm:f>
          </x14:formula1>
          <xm:sqref>F123</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5E36C595-7FCC-4416-B9CB-496D10445062}">
          <x14:formula1>
            <xm:f>'Listas Evaluación'!$A$120:$F$120</xm:f>
          </x14:formula1>
          <xm:sqref>F124</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2DF05DB8-079E-47CA-9C8B-08C75CA4F756}">
          <x14:formula1>
            <xm:f>'Listas Evaluación'!$A$121:$F$121</xm:f>
          </x14:formula1>
          <xm:sqref>F125</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9F37ACE-64FE-413E-A30D-BCB670DC0B9A}">
          <x14:formula1>
            <xm:f>'Listas Evaluación'!$A$122:$F$122</xm:f>
          </x14:formula1>
          <xm:sqref>F126</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96C2D1A8-F70F-473C-8F80-2E5E3B17A1F7}">
          <x14:formula1>
            <xm:f>'Listas Evaluación'!$A$123:$F$123</xm:f>
          </x14:formula1>
          <xm:sqref>F127</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872D01CD-9CEF-46B9-89B9-9A21BFA28762}">
          <x14:formula1>
            <xm:f>'Listas Evaluación'!$A$124:$F$124</xm:f>
          </x14:formula1>
          <xm:sqref>F128</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6BE99D18-B4E2-4737-A966-512E1EEDB21F}">
          <x14:formula1>
            <xm:f>'Listas Evaluación'!$A$125:$F$125</xm:f>
          </x14:formula1>
          <xm:sqref>F129</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0D27423F-39B1-48E3-9799-DAC237098CA1}">
          <x14:formula1>
            <xm:f>'Listas Evaluación'!$A$126:$F$126</xm:f>
          </x14:formula1>
          <xm:sqref>F130</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78BF651C-C844-43E0-B69C-10B64F906667}">
          <x14:formula1>
            <xm:f>'Listas Evaluación'!$A$127:$F$127</xm:f>
          </x14:formula1>
          <xm:sqref>F131</xm:sqref>
        </x14:dataValidation>
        <x14:dataValidation type="list" allowBlank="1" showInputMessage="1" showErrorMessage="1" errorTitle="Valor no válido" error="Seleccione una opción de la lista." promptTitle="Respuesta requerida" prompt="Seleccione el nivel de cumplimiento que mejor describe la situación actual." xr:uid="{B9D1AAB6-A59A-4052-A589-ADBDBC6E0D0E}">
          <x14:formula1>
            <xm:f>'Listas Evaluación'!$A$128:$F$128</xm:f>
          </x14:formula1>
          <xm:sqref>F132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45E3-6390-4C5F-9D22-3A1DBE735030}">
  <dimension ref="A1:Z159"/>
  <sheetViews>
    <sheetView topLeftCell="R1" zoomScale="70" zoomScaleNormal="70" workbookViewId="0">
      <pane ySplit="680" topLeftCell="A123" activePane="bottomLeft"/>
      <selection activeCell="P1" sqref="P1"/>
      <selection pane="bottomLeft" activeCell="W127" sqref="W127"/>
    </sheetView>
  </sheetViews>
  <sheetFormatPr baseColWidth="10" defaultColWidth="0" defaultRowHeight="14.5" zeroHeight="1"/>
  <cols>
    <col min="1" max="1" width="5" customWidth="1"/>
    <col min="2" max="2" width="10.90625" customWidth="1"/>
    <col min="3" max="3" width="32.7265625" customWidth="1"/>
    <col min="4" max="4" width="19.36328125" hidden="1" customWidth="1"/>
    <col min="5" max="6" width="0" hidden="1" customWidth="1"/>
    <col min="7" max="7" width="16.26953125" hidden="1" customWidth="1"/>
    <col min="8" max="8" width="26.90625" hidden="1" customWidth="1"/>
    <col min="9" max="9" width="19.7265625" hidden="1" customWidth="1"/>
    <col min="10" max="10" width="0" hidden="1" customWidth="1"/>
    <col min="11" max="11" width="18.7265625" hidden="1" customWidth="1"/>
    <col min="12" max="12" width="17.1796875" hidden="1" customWidth="1"/>
    <col min="13" max="13" width="17.1796875" customWidth="1"/>
    <col min="14" max="14" width="55.7265625" customWidth="1"/>
    <col min="15" max="15" width="28.81640625" customWidth="1"/>
    <col min="16" max="20" width="32.7265625" customWidth="1"/>
    <col min="21" max="21" width="18.81640625" customWidth="1"/>
    <col min="22" max="22" width="10.90625" customWidth="1"/>
    <col min="23" max="23" width="17.81640625" customWidth="1"/>
    <col min="24" max="24" width="14" customWidth="1"/>
    <col min="25" max="25" width="14.36328125" customWidth="1"/>
    <col min="26" max="26" width="5" customWidth="1"/>
    <col min="27" max="16384" width="10.90625" hidden="1"/>
  </cols>
  <sheetData>
    <row r="1" spans="1:26" ht="34" customHeight="1" thickBot="1">
      <c r="A1" s="78"/>
      <c r="B1" s="182" t="s">
        <v>45</v>
      </c>
      <c r="C1" s="182" t="s">
        <v>46</v>
      </c>
      <c r="D1" s="182" t="s">
        <v>129</v>
      </c>
      <c r="E1" s="182" t="s">
        <v>130</v>
      </c>
      <c r="F1" s="182" t="s">
        <v>131</v>
      </c>
      <c r="G1" s="182" t="s">
        <v>132</v>
      </c>
      <c r="H1" s="182" t="s">
        <v>133</v>
      </c>
      <c r="I1" s="182" t="s">
        <v>134</v>
      </c>
      <c r="J1" s="182" t="s">
        <v>135</v>
      </c>
      <c r="K1" s="182" t="s">
        <v>136</v>
      </c>
      <c r="L1" s="182" t="s">
        <v>58</v>
      </c>
      <c r="M1" s="183" t="s">
        <v>47</v>
      </c>
      <c r="N1" s="182" t="s">
        <v>48</v>
      </c>
      <c r="O1" s="182" t="s">
        <v>137</v>
      </c>
      <c r="P1" s="184" t="s">
        <v>49</v>
      </c>
      <c r="Q1" s="185" t="s">
        <v>50</v>
      </c>
      <c r="R1" s="186" t="s">
        <v>51</v>
      </c>
      <c r="S1" s="187" t="s">
        <v>52</v>
      </c>
      <c r="T1" s="188" t="s">
        <v>53</v>
      </c>
      <c r="U1" s="189" t="s">
        <v>140</v>
      </c>
      <c r="V1" s="190" t="s">
        <v>138</v>
      </c>
      <c r="W1" s="190" t="s">
        <v>139</v>
      </c>
      <c r="X1" s="190" t="s">
        <v>141</v>
      </c>
      <c r="Y1" s="190" t="s">
        <v>142</v>
      </c>
      <c r="Z1" s="78"/>
    </row>
    <row r="2" spans="1:26" ht="119" customHeight="1">
      <c r="A2" s="78"/>
      <c r="B2" s="191">
        <v>1</v>
      </c>
      <c r="C2" s="282" t="s">
        <v>716</v>
      </c>
      <c r="D2" s="192" t="s">
        <v>143</v>
      </c>
      <c r="E2" s="192" t="s">
        <v>144</v>
      </c>
      <c r="F2" s="192" t="s">
        <v>145</v>
      </c>
      <c r="G2" s="192" t="s">
        <v>146</v>
      </c>
      <c r="H2" s="192" t="s">
        <v>147</v>
      </c>
      <c r="I2" s="192" t="s">
        <v>148</v>
      </c>
      <c r="J2" s="192" t="s">
        <v>149</v>
      </c>
      <c r="K2" s="192" t="s">
        <v>150</v>
      </c>
      <c r="L2" s="192" t="s">
        <v>151</v>
      </c>
      <c r="M2" s="193">
        <v>1</v>
      </c>
      <c r="N2" s="121" t="s">
        <v>152</v>
      </c>
      <c r="O2" s="121" t="s">
        <v>153</v>
      </c>
      <c r="P2" s="219" t="s">
        <v>727</v>
      </c>
      <c r="Q2" s="200" t="s">
        <v>728</v>
      </c>
      <c r="R2" s="220" t="s">
        <v>729</v>
      </c>
      <c r="S2" s="201" t="s">
        <v>730</v>
      </c>
      <c r="T2" s="202" t="s">
        <v>731</v>
      </c>
      <c r="U2" s="192" t="s">
        <v>156</v>
      </c>
      <c r="V2" s="192" t="s">
        <v>154</v>
      </c>
      <c r="W2" s="192" t="s">
        <v>155</v>
      </c>
      <c r="X2" s="192" t="s">
        <v>157</v>
      </c>
      <c r="Y2" s="211" t="s">
        <v>158</v>
      </c>
      <c r="Z2" s="78"/>
    </row>
    <row r="3" spans="1:26" ht="119" customHeight="1">
      <c r="A3" s="78"/>
      <c r="B3" s="194">
        <v>2</v>
      </c>
      <c r="C3" s="279"/>
      <c r="D3" s="120" t="s">
        <v>143</v>
      </c>
      <c r="E3" s="120" t="s">
        <v>144</v>
      </c>
      <c r="F3" s="120" t="s">
        <v>145</v>
      </c>
      <c r="G3" s="120" t="s">
        <v>146</v>
      </c>
      <c r="H3" s="120" t="s">
        <v>147</v>
      </c>
      <c r="I3" s="120" t="s">
        <v>148</v>
      </c>
      <c r="J3" s="120" t="s">
        <v>149</v>
      </c>
      <c r="K3" s="120" t="s">
        <v>150</v>
      </c>
      <c r="L3" s="120" t="s">
        <v>159</v>
      </c>
      <c r="M3" s="195">
        <v>2</v>
      </c>
      <c r="N3" s="119" t="s">
        <v>160</v>
      </c>
      <c r="O3" s="119" t="s">
        <v>161</v>
      </c>
      <c r="P3" s="203" t="s">
        <v>732</v>
      </c>
      <c r="Q3" s="204" t="s">
        <v>733</v>
      </c>
      <c r="R3" s="205" t="s">
        <v>734</v>
      </c>
      <c r="S3" s="206" t="s">
        <v>735</v>
      </c>
      <c r="T3" s="207" t="s">
        <v>736</v>
      </c>
      <c r="U3" s="120" t="s">
        <v>164</v>
      </c>
      <c r="V3" s="120" t="s">
        <v>162</v>
      </c>
      <c r="W3" s="120" t="s">
        <v>163</v>
      </c>
      <c r="X3" s="120" t="s">
        <v>157</v>
      </c>
      <c r="Y3" s="212" t="s">
        <v>165</v>
      </c>
      <c r="Z3" s="78"/>
    </row>
    <row r="4" spans="1:26" ht="119" customHeight="1">
      <c r="A4" s="78"/>
      <c r="B4" s="194">
        <v>3</v>
      </c>
      <c r="C4" s="279"/>
      <c r="D4" s="120" t="s">
        <v>143</v>
      </c>
      <c r="E4" s="120" t="s">
        <v>144</v>
      </c>
      <c r="F4" s="120" t="s">
        <v>145</v>
      </c>
      <c r="G4" s="120" t="s">
        <v>146</v>
      </c>
      <c r="H4" s="120" t="s">
        <v>147</v>
      </c>
      <c r="I4" s="120" t="s">
        <v>148</v>
      </c>
      <c r="J4" s="120" t="s">
        <v>149</v>
      </c>
      <c r="K4" s="120" t="s">
        <v>150</v>
      </c>
      <c r="L4" s="120" t="s">
        <v>166</v>
      </c>
      <c r="M4" s="195">
        <v>3</v>
      </c>
      <c r="N4" s="119" t="s">
        <v>167</v>
      </c>
      <c r="O4" s="119" t="s">
        <v>168</v>
      </c>
      <c r="P4" s="203" t="s">
        <v>737</v>
      </c>
      <c r="Q4" s="204" t="s">
        <v>738</v>
      </c>
      <c r="R4" s="205" t="s">
        <v>739</v>
      </c>
      <c r="S4" s="206" t="s">
        <v>740</v>
      </c>
      <c r="T4" s="207" t="s">
        <v>741</v>
      </c>
      <c r="U4" s="120" t="s">
        <v>171</v>
      </c>
      <c r="V4" s="120" t="s">
        <v>169</v>
      </c>
      <c r="W4" s="120" t="s">
        <v>170</v>
      </c>
      <c r="X4" s="120" t="s">
        <v>157</v>
      </c>
      <c r="Y4" s="212" t="s">
        <v>158</v>
      </c>
      <c r="Z4" s="78"/>
    </row>
    <row r="5" spans="1:26" ht="119" customHeight="1">
      <c r="A5" s="78"/>
      <c r="B5" s="194">
        <v>4</v>
      </c>
      <c r="C5" s="279"/>
      <c r="D5" s="120" t="s">
        <v>172</v>
      </c>
      <c r="E5" s="120" t="s">
        <v>173</v>
      </c>
      <c r="F5" s="120" t="s">
        <v>145</v>
      </c>
      <c r="G5" s="120" t="s">
        <v>174</v>
      </c>
      <c r="H5" s="120" t="s">
        <v>147</v>
      </c>
      <c r="I5" s="120" t="s">
        <v>148</v>
      </c>
      <c r="J5" s="120" t="s">
        <v>175</v>
      </c>
      <c r="K5" s="120" t="s">
        <v>176</v>
      </c>
      <c r="L5" s="120" t="s">
        <v>177</v>
      </c>
      <c r="M5" s="195">
        <v>4</v>
      </c>
      <c r="N5" s="119" t="s">
        <v>178</v>
      </c>
      <c r="O5" s="119" t="s">
        <v>179</v>
      </c>
      <c r="P5" s="203" t="s">
        <v>742</v>
      </c>
      <c r="Q5" s="204" t="s">
        <v>743</v>
      </c>
      <c r="R5" s="205" t="s">
        <v>744</v>
      </c>
      <c r="S5" s="206" t="s">
        <v>745</v>
      </c>
      <c r="T5" s="207" t="s">
        <v>746</v>
      </c>
      <c r="U5" s="120" t="s">
        <v>164</v>
      </c>
      <c r="V5" s="120" t="s">
        <v>169</v>
      </c>
      <c r="W5" s="120" t="s">
        <v>180</v>
      </c>
      <c r="X5" s="120" t="s">
        <v>157</v>
      </c>
      <c r="Y5" s="212" t="s">
        <v>165</v>
      </c>
      <c r="Z5" s="78"/>
    </row>
    <row r="6" spans="1:26" ht="119" customHeight="1">
      <c r="A6" s="78"/>
      <c r="B6" s="194">
        <v>5</v>
      </c>
      <c r="C6" s="279"/>
      <c r="D6" s="120" t="s">
        <v>172</v>
      </c>
      <c r="E6" s="120" t="s">
        <v>173</v>
      </c>
      <c r="F6" s="120" t="s">
        <v>145</v>
      </c>
      <c r="G6" s="120" t="s">
        <v>174</v>
      </c>
      <c r="H6" s="120" t="s">
        <v>147</v>
      </c>
      <c r="I6" s="120" t="s">
        <v>148</v>
      </c>
      <c r="J6" s="120" t="s">
        <v>175</v>
      </c>
      <c r="K6" s="120" t="s">
        <v>176</v>
      </c>
      <c r="L6" s="120" t="s">
        <v>181</v>
      </c>
      <c r="M6" s="195">
        <v>5</v>
      </c>
      <c r="N6" s="119" t="s">
        <v>182</v>
      </c>
      <c r="O6" s="119" t="s">
        <v>183</v>
      </c>
      <c r="P6" s="203" t="s">
        <v>747</v>
      </c>
      <c r="Q6" s="204" t="s">
        <v>748</v>
      </c>
      <c r="R6" s="205" t="s">
        <v>749</v>
      </c>
      <c r="S6" s="206" t="s">
        <v>750</v>
      </c>
      <c r="T6" s="207" t="s">
        <v>751</v>
      </c>
      <c r="U6" s="120" t="s">
        <v>171</v>
      </c>
      <c r="V6" s="120" t="s">
        <v>184</v>
      </c>
      <c r="W6" s="120" t="s">
        <v>184</v>
      </c>
      <c r="X6" s="120" t="s">
        <v>157</v>
      </c>
      <c r="Y6" s="212" t="s">
        <v>165</v>
      </c>
      <c r="Z6" s="78"/>
    </row>
    <row r="7" spans="1:26" ht="119" customHeight="1">
      <c r="A7" s="78"/>
      <c r="B7" s="194">
        <v>6</v>
      </c>
      <c r="C7" s="279"/>
      <c r="D7" s="120" t="s">
        <v>172</v>
      </c>
      <c r="E7" s="120" t="s">
        <v>173</v>
      </c>
      <c r="F7" s="120" t="s">
        <v>145</v>
      </c>
      <c r="G7" s="120" t="s">
        <v>174</v>
      </c>
      <c r="H7" s="120" t="s">
        <v>147</v>
      </c>
      <c r="I7" s="120" t="s">
        <v>148</v>
      </c>
      <c r="J7" s="120" t="s">
        <v>175</v>
      </c>
      <c r="K7" s="120" t="s">
        <v>176</v>
      </c>
      <c r="L7" s="120" t="s">
        <v>185</v>
      </c>
      <c r="M7" s="195">
        <v>6</v>
      </c>
      <c r="N7" s="119" t="s">
        <v>186</v>
      </c>
      <c r="O7" s="119" t="s">
        <v>187</v>
      </c>
      <c r="P7" s="203" t="s">
        <v>752</v>
      </c>
      <c r="Q7" s="204" t="s">
        <v>753</v>
      </c>
      <c r="R7" s="205" t="s">
        <v>754</v>
      </c>
      <c r="S7" s="206" t="s">
        <v>755</v>
      </c>
      <c r="T7" s="207" t="s">
        <v>756</v>
      </c>
      <c r="U7" s="120" t="s">
        <v>156</v>
      </c>
      <c r="V7" s="120" t="s">
        <v>154</v>
      </c>
      <c r="W7" s="120" t="s">
        <v>155</v>
      </c>
      <c r="X7" s="120" t="s">
        <v>157</v>
      </c>
      <c r="Y7" s="212" t="s">
        <v>158</v>
      </c>
      <c r="Z7" s="78"/>
    </row>
    <row r="8" spans="1:26" ht="119" customHeight="1">
      <c r="A8" s="78"/>
      <c r="B8" s="194">
        <v>7</v>
      </c>
      <c r="C8" s="279"/>
      <c r="D8" s="120" t="s">
        <v>188</v>
      </c>
      <c r="E8" s="120" t="s">
        <v>189</v>
      </c>
      <c r="F8" s="120" t="s">
        <v>145</v>
      </c>
      <c r="G8" s="120" t="s">
        <v>174</v>
      </c>
      <c r="H8" s="120" t="s">
        <v>147</v>
      </c>
      <c r="I8" s="120" t="s">
        <v>190</v>
      </c>
      <c r="J8" s="120" t="s">
        <v>191</v>
      </c>
      <c r="K8" s="120" t="s">
        <v>192</v>
      </c>
      <c r="L8" s="120" t="s">
        <v>193</v>
      </c>
      <c r="M8" s="195">
        <v>7</v>
      </c>
      <c r="N8" s="119" t="s">
        <v>194</v>
      </c>
      <c r="O8" s="119" t="s">
        <v>195</v>
      </c>
      <c r="P8" s="203" t="s">
        <v>757</v>
      </c>
      <c r="Q8" s="204" t="s">
        <v>758</v>
      </c>
      <c r="R8" s="205" t="s">
        <v>759</v>
      </c>
      <c r="S8" s="206" t="s">
        <v>760</v>
      </c>
      <c r="T8" s="207" t="s">
        <v>761</v>
      </c>
      <c r="U8" s="120" t="s">
        <v>156</v>
      </c>
      <c r="V8" s="120" t="s">
        <v>154</v>
      </c>
      <c r="W8" s="120" t="s">
        <v>155</v>
      </c>
      <c r="X8" s="120" t="s">
        <v>157</v>
      </c>
      <c r="Y8" s="212" t="s">
        <v>158</v>
      </c>
      <c r="Z8" s="78"/>
    </row>
    <row r="9" spans="1:26" ht="119" customHeight="1">
      <c r="A9" s="78"/>
      <c r="B9" s="194">
        <v>8</v>
      </c>
      <c r="C9" s="279"/>
      <c r="D9" s="120" t="s">
        <v>188</v>
      </c>
      <c r="E9" s="120" t="s">
        <v>189</v>
      </c>
      <c r="F9" s="120" t="s">
        <v>145</v>
      </c>
      <c r="G9" s="120" t="s">
        <v>174</v>
      </c>
      <c r="H9" s="120" t="s">
        <v>147</v>
      </c>
      <c r="I9" s="120" t="s">
        <v>190</v>
      </c>
      <c r="J9" s="120" t="s">
        <v>191</v>
      </c>
      <c r="K9" s="120" t="s">
        <v>192</v>
      </c>
      <c r="L9" s="120" t="s">
        <v>196</v>
      </c>
      <c r="M9" s="195">
        <v>8</v>
      </c>
      <c r="N9" s="119" t="s">
        <v>197</v>
      </c>
      <c r="O9" s="119" t="s">
        <v>198</v>
      </c>
      <c r="P9" s="203" t="s">
        <v>762</v>
      </c>
      <c r="Q9" s="204" t="s">
        <v>763</v>
      </c>
      <c r="R9" s="205" t="s">
        <v>764</v>
      </c>
      <c r="S9" s="206" t="s">
        <v>765</v>
      </c>
      <c r="T9" s="207" t="s">
        <v>766</v>
      </c>
      <c r="U9" s="120" t="s">
        <v>171</v>
      </c>
      <c r="V9" s="120" t="s">
        <v>169</v>
      </c>
      <c r="W9" s="120" t="s">
        <v>170</v>
      </c>
      <c r="X9" s="120" t="s">
        <v>199</v>
      </c>
      <c r="Y9" s="212" t="s">
        <v>165</v>
      </c>
      <c r="Z9" s="78"/>
    </row>
    <row r="10" spans="1:26" ht="119" customHeight="1">
      <c r="A10" s="78"/>
      <c r="B10" s="194">
        <v>9</v>
      </c>
      <c r="C10" s="279"/>
      <c r="D10" s="120" t="s">
        <v>188</v>
      </c>
      <c r="E10" s="120" t="s">
        <v>189</v>
      </c>
      <c r="F10" s="120" t="s">
        <v>145</v>
      </c>
      <c r="G10" s="120" t="s">
        <v>174</v>
      </c>
      <c r="H10" s="120" t="s">
        <v>147</v>
      </c>
      <c r="I10" s="120" t="s">
        <v>190</v>
      </c>
      <c r="J10" s="120" t="s">
        <v>191</v>
      </c>
      <c r="K10" s="120" t="s">
        <v>192</v>
      </c>
      <c r="L10" s="120" t="s">
        <v>200</v>
      </c>
      <c r="M10" s="195">
        <v>9</v>
      </c>
      <c r="N10" s="119" t="s">
        <v>201</v>
      </c>
      <c r="O10" s="119" t="s">
        <v>202</v>
      </c>
      <c r="P10" s="203" t="s">
        <v>767</v>
      </c>
      <c r="Q10" s="204" t="s">
        <v>768</v>
      </c>
      <c r="R10" s="205" t="s">
        <v>769</v>
      </c>
      <c r="S10" s="206" t="s">
        <v>770</v>
      </c>
      <c r="T10" s="207" t="s">
        <v>771</v>
      </c>
      <c r="U10" s="120" t="s">
        <v>204</v>
      </c>
      <c r="V10" s="120" t="s">
        <v>169</v>
      </c>
      <c r="W10" s="120" t="s">
        <v>203</v>
      </c>
      <c r="X10" s="120" t="s">
        <v>157</v>
      </c>
      <c r="Y10" s="212" t="s">
        <v>158</v>
      </c>
      <c r="Z10" s="78"/>
    </row>
    <row r="11" spans="1:26" ht="119" customHeight="1">
      <c r="A11" s="78"/>
      <c r="B11" s="194">
        <v>10</v>
      </c>
      <c r="C11" s="279"/>
      <c r="D11" s="120" t="s">
        <v>188</v>
      </c>
      <c r="E11" s="120" t="s">
        <v>189</v>
      </c>
      <c r="F11" s="120" t="s">
        <v>145</v>
      </c>
      <c r="G11" s="120" t="s">
        <v>174</v>
      </c>
      <c r="H11" s="120" t="s">
        <v>147</v>
      </c>
      <c r="I11" s="120" t="s">
        <v>190</v>
      </c>
      <c r="J11" s="120" t="s">
        <v>191</v>
      </c>
      <c r="K11" s="120" t="s">
        <v>192</v>
      </c>
      <c r="L11" s="120" t="s">
        <v>205</v>
      </c>
      <c r="M11" s="195">
        <v>10</v>
      </c>
      <c r="N11" s="119" t="s">
        <v>206</v>
      </c>
      <c r="O11" s="119" t="s">
        <v>207</v>
      </c>
      <c r="P11" s="203" t="s">
        <v>772</v>
      </c>
      <c r="Q11" s="204" t="s">
        <v>773</v>
      </c>
      <c r="R11" s="205" t="s">
        <v>774</v>
      </c>
      <c r="S11" s="206" t="s">
        <v>775</v>
      </c>
      <c r="T11" s="207" t="s">
        <v>776</v>
      </c>
      <c r="U11" s="120" t="s">
        <v>210</v>
      </c>
      <c r="V11" s="120" t="s">
        <v>208</v>
      </c>
      <c r="W11" s="120" t="s">
        <v>209</v>
      </c>
      <c r="X11" s="120" t="s">
        <v>157</v>
      </c>
      <c r="Y11" s="212" t="s">
        <v>158</v>
      </c>
      <c r="Z11" s="78"/>
    </row>
    <row r="12" spans="1:26" ht="119" customHeight="1">
      <c r="A12" s="78"/>
      <c r="B12" s="194">
        <v>11</v>
      </c>
      <c r="C12" s="279"/>
      <c r="D12" s="120" t="s">
        <v>188</v>
      </c>
      <c r="E12" s="120" t="s">
        <v>189</v>
      </c>
      <c r="F12" s="120" t="s">
        <v>145</v>
      </c>
      <c r="G12" s="120" t="s">
        <v>174</v>
      </c>
      <c r="H12" s="120" t="s">
        <v>147</v>
      </c>
      <c r="I12" s="120" t="s">
        <v>190</v>
      </c>
      <c r="J12" s="120" t="s">
        <v>191</v>
      </c>
      <c r="K12" s="120" t="s">
        <v>192</v>
      </c>
      <c r="L12" s="120" t="s">
        <v>211</v>
      </c>
      <c r="M12" s="195">
        <v>11</v>
      </c>
      <c r="N12" s="119" t="s">
        <v>212</v>
      </c>
      <c r="O12" s="119" t="s">
        <v>213</v>
      </c>
      <c r="P12" s="203" t="s">
        <v>777</v>
      </c>
      <c r="Q12" s="204" t="s">
        <v>778</v>
      </c>
      <c r="R12" s="205" t="s">
        <v>779</v>
      </c>
      <c r="S12" s="206" t="s">
        <v>780</v>
      </c>
      <c r="T12" s="207" t="s">
        <v>781</v>
      </c>
      <c r="U12" s="120" t="s">
        <v>171</v>
      </c>
      <c r="V12" s="120" t="s">
        <v>169</v>
      </c>
      <c r="W12" s="120" t="s">
        <v>209</v>
      </c>
      <c r="X12" s="120" t="s">
        <v>157</v>
      </c>
      <c r="Y12" s="212" t="s">
        <v>158</v>
      </c>
      <c r="Z12" s="78"/>
    </row>
    <row r="13" spans="1:26" ht="119" customHeight="1">
      <c r="A13" s="78"/>
      <c r="B13" s="194">
        <v>12</v>
      </c>
      <c r="C13" s="279"/>
      <c r="D13" s="120" t="s">
        <v>214</v>
      </c>
      <c r="E13" s="120" t="s">
        <v>215</v>
      </c>
      <c r="F13" s="120" t="s">
        <v>145</v>
      </c>
      <c r="G13" s="120" t="s">
        <v>216</v>
      </c>
      <c r="H13" s="120" t="s">
        <v>147</v>
      </c>
      <c r="I13" s="120" t="s">
        <v>148</v>
      </c>
      <c r="J13" s="120" t="s">
        <v>217</v>
      </c>
      <c r="K13" s="120" t="s">
        <v>218</v>
      </c>
      <c r="L13" s="120" t="s">
        <v>219</v>
      </c>
      <c r="M13" s="195">
        <v>12</v>
      </c>
      <c r="N13" s="119" t="s">
        <v>220</v>
      </c>
      <c r="O13" s="119" t="s">
        <v>221</v>
      </c>
      <c r="P13" s="203" t="s">
        <v>782</v>
      </c>
      <c r="Q13" s="204" t="s">
        <v>783</v>
      </c>
      <c r="R13" s="205" t="s">
        <v>784</v>
      </c>
      <c r="S13" s="206" t="s">
        <v>785</v>
      </c>
      <c r="T13" s="207" t="s">
        <v>786</v>
      </c>
      <c r="U13" s="120" t="s">
        <v>171</v>
      </c>
      <c r="V13" s="120" t="s">
        <v>162</v>
      </c>
      <c r="W13" s="120" t="s">
        <v>222</v>
      </c>
      <c r="X13" s="120" t="s">
        <v>157</v>
      </c>
      <c r="Y13" s="212" t="s">
        <v>165</v>
      </c>
      <c r="Z13" s="78"/>
    </row>
    <row r="14" spans="1:26" ht="119" customHeight="1">
      <c r="A14" s="78"/>
      <c r="B14" s="194">
        <v>13</v>
      </c>
      <c r="C14" s="279"/>
      <c r="D14" s="120" t="s">
        <v>214</v>
      </c>
      <c r="E14" s="120" t="s">
        <v>215</v>
      </c>
      <c r="F14" s="120" t="s">
        <v>145</v>
      </c>
      <c r="G14" s="120" t="s">
        <v>216</v>
      </c>
      <c r="H14" s="120" t="s">
        <v>147</v>
      </c>
      <c r="I14" s="120" t="s">
        <v>148</v>
      </c>
      <c r="J14" s="120" t="s">
        <v>217</v>
      </c>
      <c r="K14" s="120" t="s">
        <v>218</v>
      </c>
      <c r="L14" s="120" t="s">
        <v>223</v>
      </c>
      <c r="M14" s="195">
        <v>13</v>
      </c>
      <c r="N14" s="119" t="s">
        <v>224</v>
      </c>
      <c r="O14" s="119" t="s">
        <v>225</v>
      </c>
      <c r="P14" s="203" t="s">
        <v>787</v>
      </c>
      <c r="Q14" s="204" t="s">
        <v>788</v>
      </c>
      <c r="R14" s="205" t="s">
        <v>789</v>
      </c>
      <c r="S14" s="206" t="s">
        <v>790</v>
      </c>
      <c r="T14" s="207" t="s">
        <v>791</v>
      </c>
      <c r="U14" s="120" t="s">
        <v>164</v>
      </c>
      <c r="V14" s="120" t="s">
        <v>169</v>
      </c>
      <c r="W14" s="120" t="s">
        <v>180</v>
      </c>
      <c r="X14" s="120" t="s">
        <v>157</v>
      </c>
      <c r="Y14" s="212" t="s">
        <v>165</v>
      </c>
      <c r="Z14" s="78"/>
    </row>
    <row r="15" spans="1:26" ht="119" customHeight="1">
      <c r="A15" s="78"/>
      <c r="B15" s="194">
        <v>14</v>
      </c>
      <c r="C15" s="279"/>
      <c r="D15" s="120" t="s">
        <v>226</v>
      </c>
      <c r="E15" s="120" t="s">
        <v>227</v>
      </c>
      <c r="F15" s="120" t="s">
        <v>145</v>
      </c>
      <c r="G15" s="120" t="s">
        <v>228</v>
      </c>
      <c r="H15" s="120" t="s">
        <v>147</v>
      </c>
      <c r="I15" s="120" t="s">
        <v>190</v>
      </c>
      <c r="J15" s="120" t="s">
        <v>229</v>
      </c>
      <c r="K15" s="120" t="s">
        <v>230</v>
      </c>
      <c r="L15" s="120" t="s">
        <v>231</v>
      </c>
      <c r="M15" s="195">
        <v>14</v>
      </c>
      <c r="N15" s="119" t="s">
        <v>232</v>
      </c>
      <c r="O15" s="119" t="s">
        <v>233</v>
      </c>
      <c r="P15" s="203" t="s">
        <v>792</v>
      </c>
      <c r="Q15" s="204" t="s">
        <v>793</v>
      </c>
      <c r="R15" s="205" t="s">
        <v>794</v>
      </c>
      <c r="S15" s="206" t="s">
        <v>795</v>
      </c>
      <c r="T15" s="207" t="s">
        <v>796</v>
      </c>
      <c r="U15" s="120" t="s">
        <v>171</v>
      </c>
      <c r="V15" s="120" t="s">
        <v>169</v>
      </c>
      <c r="W15" s="120" t="s">
        <v>234</v>
      </c>
      <c r="X15" s="120" t="s">
        <v>157</v>
      </c>
      <c r="Y15" s="212" t="s">
        <v>165</v>
      </c>
      <c r="Z15" s="78"/>
    </row>
    <row r="16" spans="1:26" ht="119" customHeight="1">
      <c r="A16" s="78"/>
      <c r="B16" s="194">
        <v>15</v>
      </c>
      <c r="C16" s="279"/>
      <c r="D16" s="120" t="s">
        <v>226</v>
      </c>
      <c r="E16" s="120" t="s">
        <v>227</v>
      </c>
      <c r="F16" s="120" t="s">
        <v>145</v>
      </c>
      <c r="G16" s="120" t="s">
        <v>228</v>
      </c>
      <c r="H16" s="120" t="s">
        <v>147</v>
      </c>
      <c r="I16" s="120" t="s">
        <v>190</v>
      </c>
      <c r="J16" s="120" t="s">
        <v>229</v>
      </c>
      <c r="K16" s="120" t="s">
        <v>230</v>
      </c>
      <c r="L16" s="120" t="s">
        <v>235</v>
      </c>
      <c r="M16" s="195">
        <v>15</v>
      </c>
      <c r="N16" s="119" t="s">
        <v>236</v>
      </c>
      <c r="O16" s="119" t="s">
        <v>237</v>
      </c>
      <c r="P16" s="203" t="s">
        <v>797</v>
      </c>
      <c r="Q16" s="204" t="s">
        <v>798</v>
      </c>
      <c r="R16" s="205" t="s">
        <v>799</v>
      </c>
      <c r="S16" s="206" t="s">
        <v>800</v>
      </c>
      <c r="T16" s="207" t="s">
        <v>801</v>
      </c>
      <c r="U16" s="120" t="s">
        <v>210</v>
      </c>
      <c r="V16" s="120" t="s">
        <v>169</v>
      </c>
      <c r="W16" s="120" t="s">
        <v>238</v>
      </c>
      <c r="X16" s="120" t="s">
        <v>157</v>
      </c>
      <c r="Y16" s="212" t="s">
        <v>165</v>
      </c>
      <c r="Z16" s="78"/>
    </row>
    <row r="17" spans="1:26" ht="119" customHeight="1">
      <c r="A17" s="78"/>
      <c r="B17" s="194">
        <v>16</v>
      </c>
      <c r="C17" s="279"/>
      <c r="D17" s="120" t="s">
        <v>239</v>
      </c>
      <c r="E17" s="120" t="s">
        <v>240</v>
      </c>
      <c r="F17" s="120" t="s">
        <v>145</v>
      </c>
      <c r="G17" s="120" t="s">
        <v>174</v>
      </c>
      <c r="H17" s="120" t="s">
        <v>147</v>
      </c>
      <c r="I17" s="120" t="s">
        <v>190</v>
      </c>
      <c r="J17" s="120" t="s">
        <v>241</v>
      </c>
      <c r="K17" s="120" t="s">
        <v>242</v>
      </c>
      <c r="L17" s="120" t="s">
        <v>243</v>
      </c>
      <c r="M17" s="195">
        <v>16</v>
      </c>
      <c r="N17" s="119" t="s">
        <v>244</v>
      </c>
      <c r="O17" s="119" t="s">
        <v>245</v>
      </c>
      <c r="P17" s="203" t="s">
        <v>802</v>
      </c>
      <c r="Q17" s="204" t="s">
        <v>803</v>
      </c>
      <c r="R17" s="205" t="s">
        <v>804</v>
      </c>
      <c r="S17" s="206" t="s">
        <v>805</v>
      </c>
      <c r="T17" s="207" t="s">
        <v>806</v>
      </c>
      <c r="U17" s="120" t="s">
        <v>156</v>
      </c>
      <c r="V17" s="120" t="s">
        <v>154</v>
      </c>
      <c r="W17" s="120" t="s">
        <v>246</v>
      </c>
      <c r="X17" s="120" t="s">
        <v>199</v>
      </c>
      <c r="Y17" s="212" t="s">
        <v>158</v>
      </c>
      <c r="Z17" s="78"/>
    </row>
    <row r="18" spans="1:26" ht="119" customHeight="1">
      <c r="A18" s="78"/>
      <c r="B18" s="194">
        <v>17</v>
      </c>
      <c r="C18" s="279"/>
      <c r="D18" s="120" t="s">
        <v>239</v>
      </c>
      <c r="E18" s="120" t="s">
        <v>240</v>
      </c>
      <c r="F18" s="120" t="s">
        <v>145</v>
      </c>
      <c r="G18" s="120" t="s">
        <v>174</v>
      </c>
      <c r="H18" s="120" t="s">
        <v>147</v>
      </c>
      <c r="I18" s="120" t="s">
        <v>190</v>
      </c>
      <c r="J18" s="120" t="s">
        <v>241</v>
      </c>
      <c r="K18" s="120" t="s">
        <v>242</v>
      </c>
      <c r="L18" s="120" t="s">
        <v>247</v>
      </c>
      <c r="M18" s="195">
        <v>17</v>
      </c>
      <c r="N18" s="119" t="s">
        <v>248</v>
      </c>
      <c r="O18" s="119" t="s">
        <v>249</v>
      </c>
      <c r="P18" s="203" t="s">
        <v>807</v>
      </c>
      <c r="Q18" s="204" t="s">
        <v>808</v>
      </c>
      <c r="R18" s="205" t="s">
        <v>809</v>
      </c>
      <c r="S18" s="206" t="s">
        <v>810</v>
      </c>
      <c r="T18" s="207" t="s">
        <v>811</v>
      </c>
      <c r="U18" s="120" t="s">
        <v>204</v>
      </c>
      <c r="V18" s="120" t="s">
        <v>250</v>
      </c>
      <c r="W18" s="120" t="s">
        <v>209</v>
      </c>
      <c r="X18" s="120" t="s">
        <v>199</v>
      </c>
      <c r="Y18" s="212" t="s">
        <v>165</v>
      </c>
      <c r="Z18" s="78"/>
    </row>
    <row r="19" spans="1:26" ht="119" customHeight="1">
      <c r="A19" s="78"/>
      <c r="B19" s="194">
        <v>18</v>
      </c>
      <c r="C19" s="279" t="s">
        <v>717</v>
      </c>
      <c r="D19" s="120" t="s">
        <v>251</v>
      </c>
      <c r="E19" s="120" t="s">
        <v>252</v>
      </c>
      <c r="F19" s="120" t="s">
        <v>145</v>
      </c>
      <c r="G19" s="120" t="s">
        <v>174</v>
      </c>
      <c r="H19" s="120" t="s">
        <v>147</v>
      </c>
      <c r="I19" s="120" t="s">
        <v>190</v>
      </c>
      <c r="J19" s="120" t="s">
        <v>253</v>
      </c>
      <c r="K19" s="120" t="s">
        <v>254</v>
      </c>
      <c r="L19" s="120" t="s">
        <v>255</v>
      </c>
      <c r="M19" s="195">
        <v>1</v>
      </c>
      <c r="N19" s="119" t="s">
        <v>256</v>
      </c>
      <c r="O19" s="119" t="s">
        <v>257</v>
      </c>
      <c r="P19" s="203" t="s">
        <v>812</v>
      </c>
      <c r="Q19" s="204" t="s">
        <v>813</v>
      </c>
      <c r="R19" s="205" t="s">
        <v>814</v>
      </c>
      <c r="S19" s="206" t="s">
        <v>815</v>
      </c>
      <c r="T19" s="207" t="s">
        <v>816</v>
      </c>
      <c r="U19" s="120" t="s">
        <v>156</v>
      </c>
      <c r="V19" s="120" t="s">
        <v>154</v>
      </c>
      <c r="W19" s="120" t="s">
        <v>155</v>
      </c>
      <c r="X19" s="120" t="s">
        <v>199</v>
      </c>
      <c r="Y19" s="212" t="s">
        <v>165</v>
      </c>
      <c r="Z19" s="78"/>
    </row>
    <row r="20" spans="1:26" ht="119" customHeight="1">
      <c r="A20" s="78"/>
      <c r="B20" s="194">
        <v>19</v>
      </c>
      <c r="C20" s="279"/>
      <c r="D20" s="120" t="s">
        <v>251</v>
      </c>
      <c r="E20" s="120" t="s">
        <v>252</v>
      </c>
      <c r="F20" s="120" t="s">
        <v>145</v>
      </c>
      <c r="G20" s="120" t="s">
        <v>174</v>
      </c>
      <c r="H20" s="120" t="s">
        <v>147</v>
      </c>
      <c r="I20" s="120" t="s">
        <v>190</v>
      </c>
      <c r="J20" s="120" t="s">
        <v>253</v>
      </c>
      <c r="K20" s="120" t="s">
        <v>254</v>
      </c>
      <c r="L20" s="120" t="s">
        <v>258</v>
      </c>
      <c r="M20" s="195">
        <v>2</v>
      </c>
      <c r="N20" s="119" t="s">
        <v>259</v>
      </c>
      <c r="O20" s="119" t="s">
        <v>260</v>
      </c>
      <c r="P20" s="203" t="s">
        <v>817</v>
      </c>
      <c r="Q20" s="204" t="s">
        <v>818</v>
      </c>
      <c r="R20" s="205" t="s">
        <v>819</v>
      </c>
      <c r="S20" s="206" t="s">
        <v>820</v>
      </c>
      <c r="T20" s="207" t="s">
        <v>821</v>
      </c>
      <c r="U20" s="120" t="s">
        <v>164</v>
      </c>
      <c r="V20" s="120" t="s">
        <v>250</v>
      </c>
      <c r="W20" s="120" t="s">
        <v>234</v>
      </c>
      <c r="X20" s="120" t="s">
        <v>199</v>
      </c>
      <c r="Y20" s="212" t="s">
        <v>165</v>
      </c>
      <c r="Z20" s="78"/>
    </row>
    <row r="21" spans="1:26" ht="119" customHeight="1">
      <c r="A21" s="78"/>
      <c r="B21" s="194">
        <v>20</v>
      </c>
      <c r="C21" s="279"/>
      <c r="D21" s="120" t="s">
        <v>261</v>
      </c>
      <c r="E21" s="120" t="s">
        <v>262</v>
      </c>
      <c r="F21" s="120" t="s">
        <v>145</v>
      </c>
      <c r="G21" s="120" t="s">
        <v>263</v>
      </c>
      <c r="H21" s="120" t="s">
        <v>147</v>
      </c>
      <c r="I21" s="120" t="s">
        <v>190</v>
      </c>
      <c r="J21" s="120" t="s">
        <v>264</v>
      </c>
      <c r="K21" s="120" t="s">
        <v>265</v>
      </c>
      <c r="L21" s="120" t="s">
        <v>266</v>
      </c>
      <c r="M21" s="195">
        <v>3</v>
      </c>
      <c r="N21" s="119" t="s">
        <v>267</v>
      </c>
      <c r="O21" s="119" t="s">
        <v>268</v>
      </c>
      <c r="P21" s="203" t="s">
        <v>822</v>
      </c>
      <c r="Q21" s="204" t="s">
        <v>823</v>
      </c>
      <c r="R21" s="205" t="s">
        <v>824</v>
      </c>
      <c r="S21" s="206" t="s">
        <v>825</v>
      </c>
      <c r="T21" s="207" t="s">
        <v>826</v>
      </c>
      <c r="U21" s="120" t="s">
        <v>156</v>
      </c>
      <c r="V21" s="120" t="s">
        <v>154</v>
      </c>
      <c r="W21" s="120" t="s">
        <v>246</v>
      </c>
      <c r="X21" s="120" t="s">
        <v>199</v>
      </c>
      <c r="Y21" s="212" t="s">
        <v>269</v>
      </c>
      <c r="Z21" s="78"/>
    </row>
    <row r="22" spans="1:26" ht="119" customHeight="1">
      <c r="A22" s="78"/>
      <c r="B22" s="194">
        <v>21</v>
      </c>
      <c r="C22" s="279"/>
      <c r="D22" s="120" t="s">
        <v>261</v>
      </c>
      <c r="E22" s="120" t="s">
        <v>262</v>
      </c>
      <c r="F22" s="120" t="s">
        <v>145</v>
      </c>
      <c r="G22" s="120" t="s">
        <v>263</v>
      </c>
      <c r="H22" s="120" t="s">
        <v>147</v>
      </c>
      <c r="I22" s="120" t="s">
        <v>190</v>
      </c>
      <c r="J22" s="120" t="s">
        <v>264</v>
      </c>
      <c r="K22" s="120" t="s">
        <v>265</v>
      </c>
      <c r="L22" s="120" t="s">
        <v>270</v>
      </c>
      <c r="M22" s="195">
        <v>4</v>
      </c>
      <c r="N22" s="119" t="s">
        <v>271</v>
      </c>
      <c r="O22" s="119" t="s">
        <v>272</v>
      </c>
      <c r="P22" s="203" t="s">
        <v>827</v>
      </c>
      <c r="Q22" s="204" t="s">
        <v>828</v>
      </c>
      <c r="R22" s="205" t="s">
        <v>829</v>
      </c>
      <c r="S22" s="206" t="s">
        <v>830</v>
      </c>
      <c r="T22" s="207" t="s">
        <v>831</v>
      </c>
      <c r="U22" s="120" t="s">
        <v>204</v>
      </c>
      <c r="V22" s="120" t="s">
        <v>169</v>
      </c>
      <c r="W22" s="120" t="s">
        <v>155</v>
      </c>
      <c r="X22" s="120" t="s">
        <v>199</v>
      </c>
      <c r="Y22" s="212" t="s">
        <v>269</v>
      </c>
      <c r="Z22" s="78"/>
    </row>
    <row r="23" spans="1:26" ht="119" customHeight="1">
      <c r="A23" s="78"/>
      <c r="B23" s="194">
        <v>22</v>
      </c>
      <c r="C23" s="279"/>
      <c r="D23" s="120" t="s">
        <v>261</v>
      </c>
      <c r="E23" s="120" t="s">
        <v>262</v>
      </c>
      <c r="F23" s="120" t="s">
        <v>145</v>
      </c>
      <c r="G23" s="120" t="s">
        <v>263</v>
      </c>
      <c r="H23" s="120" t="s">
        <v>147</v>
      </c>
      <c r="I23" s="120" t="s">
        <v>190</v>
      </c>
      <c r="J23" s="120" t="s">
        <v>264</v>
      </c>
      <c r="K23" s="120" t="s">
        <v>265</v>
      </c>
      <c r="L23" s="120" t="s">
        <v>273</v>
      </c>
      <c r="M23" s="195">
        <v>5</v>
      </c>
      <c r="N23" s="119" t="s">
        <v>274</v>
      </c>
      <c r="O23" s="119" t="s">
        <v>275</v>
      </c>
      <c r="P23" s="203" t="s">
        <v>832</v>
      </c>
      <c r="Q23" s="204" t="s">
        <v>833</v>
      </c>
      <c r="R23" s="205" t="s">
        <v>834</v>
      </c>
      <c r="S23" s="206" t="s">
        <v>835</v>
      </c>
      <c r="T23" s="207" t="s">
        <v>836</v>
      </c>
      <c r="U23" s="120" t="s">
        <v>210</v>
      </c>
      <c r="V23" s="120" t="s">
        <v>208</v>
      </c>
      <c r="W23" s="120" t="s">
        <v>209</v>
      </c>
      <c r="X23" s="120" t="s">
        <v>199</v>
      </c>
      <c r="Y23" s="212" t="s">
        <v>269</v>
      </c>
      <c r="Z23" s="78"/>
    </row>
    <row r="24" spans="1:26" ht="119" customHeight="1">
      <c r="A24" s="78"/>
      <c r="B24" s="194">
        <v>23</v>
      </c>
      <c r="C24" s="279"/>
      <c r="D24" s="120" t="s">
        <v>276</v>
      </c>
      <c r="E24" s="120" t="s">
        <v>277</v>
      </c>
      <c r="F24" s="120" t="s">
        <v>278</v>
      </c>
      <c r="G24" s="120" t="s">
        <v>174</v>
      </c>
      <c r="H24" s="120" t="s">
        <v>279</v>
      </c>
      <c r="I24" s="120" t="s">
        <v>190</v>
      </c>
      <c r="J24" s="120" t="s">
        <v>280</v>
      </c>
      <c r="K24" s="120" t="s">
        <v>281</v>
      </c>
      <c r="L24" s="120" t="s">
        <v>282</v>
      </c>
      <c r="M24" s="195">
        <v>6</v>
      </c>
      <c r="N24" s="119" t="s">
        <v>283</v>
      </c>
      <c r="O24" s="119" t="s">
        <v>284</v>
      </c>
      <c r="P24" s="203" t="s">
        <v>837</v>
      </c>
      <c r="Q24" s="204" t="s">
        <v>838</v>
      </c>
      <c r="R24" s="205" t="s">
        <v>839</v>
      </c>
      <c r="S24" s="206" t="s">
        <v>840</v>
      </c>
      <c r="T24" s="207" t="s">
        <v>841</v>
      </c>
      <c r="U24" s="120" t="s">
        <v>156</v>
      </c>
      <c r="V24" s="120" t="s">
        <v>154</v>
      </c>
      <c r="W24" s="120" t="s">
        <v>246</v>
      </c>
      <c r="X24" s="120" t="s">
        <v>157</v>
      </c>
      <c r="Y24" s="212" t="s">
        <v>158</v>
      </c>
      <c r="Z24" s="78"/>
    </row>
    <row r="25" spans="1:26" ht="119" customHeight="1">
      <c r="A25" s="78"/>
      <c r="B25" s="194">
        <v>24</v>
      </c>
      <c r="C25" s="279"/>
      <c r="D25" s="120" t="s">
        <v>276</v>
      </c>
      <c r="E25" s="120" t="s">
        <v>277</v>
      </c>
      <c r="F25" s="120" t="s">
        <v>278</v>
      </c>
      <c r="G25" s="120" t="s">
        <v>174</v>
      </c>
      <c r="H25" s="120" t="s">
        <v>279</v>
      </c>
      <c r="I25" s="120" t="s">
        <v>190</v>
      </c>
      <c r="J25" s="120" t="s">
        <v>280</v>
      </c>
      <c r="K25" s="120" t="s">
        <v>281</v>
      </c>
      <c r="L25" s="120" t="s">
        <v>285</v>
      </c>
      <c r="M25" s="195">
        <v>7</v>
      </c>
      <c r="N25" s="119" t="s">
        <v>286</v>
      </c>
      <c r="O25" s="119" t="s">
        <v>287</v>
      </c>
      <c r="P25" s="203" t="s">
        <v>842</v>
      </c>
      <c r="Q25" s="204" t="s">
        <v>843</v>
      </c>
      <c r="R25" s="205" t="s">
        <v>844</v>
      </c>
      <c r="S25" s="206" t="s">
        <v>845</v>
      </c>
      <c r="T25" s="207" t="s">
        <v>846</v>
      </c>
      <c r="U25" s="120" t="s">
        <v>164</v>
      </c>
      <c r="V25" s="120" t="s">
        <v>169</v>
      </c>
      <c r="W25" s="120" t="s">
        <v>234</v>
      </c>
      <c r="X25" s="120" t="s">
        <v>157</v>
      </c>
      <c r="Y25" s="212" t="s">
        <v>165</v>
      </c>
      <c r="Z25" s="78"/>
    </row>
    <row r="26" spans="1:26" ht="119" customHeight="1">
      <c r="A26" s="78"/>
      <c r="B26" s="194">
        <v>25</v>
      </c>
      <c r="C26" s="279"/>
      <c r="D26" s="120" t="s">
        <v>276</v>
      </c>
      <c r="E26" s="120" t="s">
        <v>277</v>
      </c>
      <c r="F26" s="120" t="s">
        <v>145</v>
      </c>
      <c r="G26" s="120" t="s">
        <v>174</v>
      </c>
      <c r="H26" s="120" t="s">
        <v>147</v>
      </c>
      <c r="I26" s="120" t="s">
        <v>190</v>
      </c>
      <c r="J26" s="120" t="s">
        <v>280</v>
      </c>
      <c r="K26" s="120" t="s">
        <v>281</v>
      </c>
      <c r="L26" s="120" t="s">
        <v>288</v>
      </c>
      <c r="M26" s="195">
        <v>8</v>
      </c>
      <c r="N26" s="119" t="s">
        <v>289</v>
      </c>
      <c r="O26" s="119" t="s">
        <v>290</v>
      </c>
      <c r="P26" s="203" t="s">
        <v>847</v>
      </c>
      <c r="Q26" s="204" t="s">
        <v>848</v>
      </c>
      <c r="R26" s="205" t="s">
        <v>849</v>
      </c>
      <c r="S26" s="206" t="s">
        <v>850</v>
      </c>
      <c r="T26" s="207" t="s">
        <v>851</v>
      </c>
      <c r="U26" s="120" t="s">
        <v>291</v>
      </c>
      <c r="V26" s="120" t="s">
        <v>250</v>
      </c>
      <c r="W26" s="120" t="s">
        <v>209</v>
      </c>
      <c r="X26" s="120" t="s">
        <v>199</v>
      </c>
      <c r="Y26" s="212" t="s">
        <v>165</v>
      </c>
      <c r="Z26" s="78"/>
    </row>
    <row r="27" spans="1:26" ht="119" customHeight="1">
      <c r="A27" s="78"/>
      <c r="B27" s="194">
        <v>26</v>
      </c>
      <c r="C27" s="279"/>
      <c r="D27" s="120" t="s">
        <v>292</v>
      </c>
      <c r="E27" s="120" t="s">
        <v>293</v>
      </c>
      <c r="F27" s="120" t="s">
        <v>145</v>
      </c>
      <c r="G27" s="120" t="s">
        <v>228</v>
      </c>
      <c r="H27" s="120" t="s">
        <v>147</v>
      </c>
      <c r="I27" s="120" t="s">
        <v>190</v>
      </c>
      <c r="J27" s="120" t="s">
        <v>294</v>
      </c>
      <c r="K27" s="120" t="s">
        <v>295</v>
      </c>
      <c r="L27" s="120" t="s">
        <v>296</v>
      </c>
      <c r="M27" s="195">
        <v>9</v>
      </c>
      <c r="N27" s="119" t="s">
        <v>297</v>
      </c>
      <c r="O27" s="119" t="s">
        <v>298</v>
      </c>
      <c r="P27" s="203" t="s">
        <v>852</v>
      </c>
      <c r="Q27" s="204" t="s">
        <v>853</v>
      </c>
      <c r="R27" s="205" t="s">
        <v>854</v>
      </c>
      <c r="S27" s="206" t="s">
        <v>855</v>
      </c>
      <c r="T27" s="207" t="s">
        <v>856</v>
      </c>
      <c r="U27" s="120" t="s">
        <v>156</v>
      </c>
      <c r="V27" s="120" t="s">
        <v>154</v>
      </c>
      <c r="W27" s="120" t="s">
        <v>246</v>
      </c>
      <c r="X27" s="120" t="s">
        <v>157</v>
      </c>
      <c r="Y27" s="212" t="s">
        <v>158</v>
      </c>
      <c r="Z27" s="78"/>
    </row>
    <row r="28" spans="1:26" ht="119" customHeight="1">
      <c r="A28" s="78"/>
      <c r="B28" s="194">
        <v>27</v>
      </c>
      <c r="C28" s="279"/>
      <c r="D28" s="120" t="s">
        <v>292</v>
      </c>
      <c r="E28" s="120" t="s">
        <v>293</v>
      </c>
      <c r="F28" s="120" t="s">
        <v>145</v>
      </c>
      <c r="G28" s="120" t="s">
        <v>228</v>
      </c>
      <c r="H28" s="120" t="s">
        <v>147</v>
      </c>
      <c r="I28" s="120" t="s">
        <v>190</v>
      </c>
      <c r="J28" s="120" t="s">
        <v>294</v>
      </c>
      <c r="K28" s="120" t="s">
        <v>295</v>
      </c>
      <c r="L28" s="120" t="s">
        <v>299</v>
      </c>
      <c r="M28" s="195">
        <v>10</v>
      </c>
      <c r="N28" s="119" t="s">
        <v>300</v>
      </c>
      <c r="O28" s="119" t="s">
        <v>301</v>
      </c>
      <c r="P28" s="203" t="s">
        <v>857</v>
      </c>
      <c r="Q28" s="204" t="s">
        <v>858</v>
      </c>
      <c r="R28" s="205" t="s">
        <v>859</v>
      </c>
      <c r="S28" s="206" t="s">
        <v>860</v>
      </c>
      <c r="T28" s="207" t="s">
        <v>861</v>
      </c>
      <c r="U28" s="120" t="s">
        <v>171</v>
      </c>
      <c r="V28" s="120" t="s">
        <v>169</v>
      </c>
      <c r="W28" s="120" t="s">
        <v>234</v>
      </c>
      <c r="X28" s="120" t="s">
        <v>199</v>
      </c>
      <c r="Y28" s="212" t="s">
        <v>165</v>
      </c>
      <c r="Z28" s="78"/>
    </row>
    <row r="29" spans="1:26" ht="119" customHeight="1">
      <c r="A29" s="78"/>
      <c r="B29" s="194">
        <v>28</v>
      </c>
      <c r="C29" s="279"/>
      <c r="D29" s="120" t="s">
        <v>292</v>
      </c>
      <c r="E29" s="120" t="s">
        <v>293</v>
      </c>
      <c r="F29" s="120" t="s">
        <v>145</v>
      </c>
      <c r="G29" s="120" t="s">
        <v>228</v>
      </c>
      <c r="H29" s="120" t="s">
        <v>147</v>
      </c>
      <c r="I29" s="120" t="s">
        <v>190</v>
      </c>
      <c r="J29" s="120" t="s">
        <v>294</v>
      </c>
      <c r="K29" s="120" t="s">
        <v>295</v>
      </c>
      <c r="L29" s="120" t="s">
        <v>302</v>
      </c>
      <c r="M29" s="195">
        <v>11</v>
      </c>
      <c r="N29" s="119" t="s">
        <v>303</v>
      </c>
      <c r="O29" s="119" t="s">
        <v>304</v>
      </c>
      <c r="P29" s="203" t="s">
        <v>862</v>
      </c>
      <c r="Q29" s="204" t="s">
        <v>863</v>
      </c>
      <c r="R29" s="205" t="s">
        <v>864</v>
      </c>
      <c r="S29" s="206" t="s">
        <v>865</v>
      </c>
      <c r="T29" s="207" t="s">
        <v>866</v>
      </c>
      <c r="U29" s="120" t="s">
        <v>210</v>
      </c>
      <c r="V29" s="120" t="s">
        <v>208</v>
      </c>
      <c r="W29" s="120" t="s">
        <v>209</v>
      </c>
      <c r="X29" s="120" t="s">
        <v>199</v>
      </c>
      <c r="Y29" s="212" t="s">
        <v>165</v>
      </c>
      <c r="Z29" s="78"/>
    </row>
    <row r="30" spans="1:26" ht="119" customHeight="1">
      <c r="A30" s="78"/>
      <c r="B30" s="194">
        <v>29</v>
      </c>
      <c r="C30" s="279" t="s">
        <v>718</v>
      </c>
      <c r="D30" s="120" t="s">
        <v>305</v>
      </c>
      <c r="E30" s="120" t="s">
        <v>306</v>
      </c>
      <c r="F30" s="120" t="s">
        <v>278</v>
      </c>
      <c r="G30" s="120" t="s">
        <v>174</v>
      </c>
      <c r="H30" s="120" t="s">
        <v>279</v>
      </c>
      <c r="I30" s="120" t="s">
        <v>190</v>
      </c>
      <c r="J30" s="120" t="s">
        <v>307</v>
      </c>
      <c r="K30" s="120" t="s">
        <v>308</v>
      </c>
      <c r="L30" s="120" t="s">
        <v>309</v>
      </c>
      <c r="M30" s="195">
        <v>1</v>
      </c>
      <c r="N30" s="119" t="s">
        <v>310</v>
      </c>
      <c r="O30" s="119" t="s">
        <v>311</v>
      </c>
      <c r="P30" s="203" t="s">
        <v>867</v>
      </c>
      <c r="Q30" s="204" t="s">
        <v>868</v>
      </c>
      <c r="R30" s="205" t="s">
        <v>869</v>
      </c>
      <c r="S30" s="206" t="s">
        <v>870</v>
      </c>
      <c r="T30" s="207" t="s">
        <v>871</v>
      </c>
      <c r="U30" s="120" t="s">
        <v>156</v>
      </c>
      <c r="V30" s="120" t="s">
        <v>154</v>
      </c>
      <c r="W30" s="120" t="s">
        <v>246</v>
      </c>
      <c r="X30" s="120" t="s">
        <v>199</v>
      </c>
      <c r="Y30" s="212" t="s">
        <v>269</v>
      </c>
      <c r="Z30" s="78"/>
    </row>
    <row r="31" spans="1:26" ht="119" customHeight="1">
      <c r="A31" s="78"/>
      <c r="B31" s="194">
        <v>30</v>
      </c>
      <c r="C31" s="279"/>
      <c r="D31" s="120" t="s">
        <v>305</v>
      </c>
      <c r="E31" s="120" t="s">
        <v>306</v>
      </c>
      <c r="F31" s="120" t="s">
        <v>278</v>
      </c>
      <c r="G31" s="120" t="s">
        <v>174</v>
      </c>
      <c r="H31" s="120" t="s">
        <v>279</v>
      </c>
      <c r="I31" s="120" t="s">
        <v>190</v>
      </c>
      <c r="J31" s="120" t="s">
        <v>307</v>
      </c>
      <c r="K31" s="120" t="s">
        <v>308</v>
      </c>
      <c r="L31" s="120" t="s">
        <v>312</v>
      </c>
      <c r="M31" s="195">
        <v>2</v>
      </c>
      <c r="N31" s="119" t="s">
        <v>313</v>
      </c>
      <c r="O31" s="119" t="s">
        <v>314</v>
      </c>
      <c r="P31" s="203" t="s">
        <v>872</v>
      </c>
      <c r="Q31" s="204" t="s">
        <v>873</v>
      </c>
      <c r="R31" s="205" t="s">
        <v>874</v>
      </c>
      <c r="S31" s="206" t="s">
        <v>875</v>
      </c>
      <c r="T31" s="207" t="s">
        <v>876</v>
      </c>
      <c r="U31" s="120" t="s">
        <v>164</v>
      </c>
      <c r="V31" s="120" t="s">
        <v>250</v>
      </c>
      <c r="W31" s="120" t="s">
        <v>209</v>
      </c>
      <c r="X31" s="120" t="s">
        <v>199</v>
      </c>
      <c r="Y31" s="212" t="s">
        <v>269</v>
      </c>
      <c r="Z31" s="78"/>
    </row>
    <row r="32" spans="1:26" ht="119" customHeight="1">
      <c r="A32" s="78"/>
      <c r="B32" s="194">
        <v>31</v>
      </c>
      <c r="C32" s="279"/>
      <c r="D32" s="120" t="s">
        <v>305</v>
      </c>
      <c r="E32" s="120" t="s">
        <v>306</v>
      </c>
      <c r="F32" s="120" t="s">
        <v>278</v>
      </c>
      <c r="G32" s="120" t="s">
        <v>174</v>
      </c>
      <c r="H32" s="120" t="s">
        <v>279</v>
      </c>
      <c r="I32" s="120" t="s">
        <v>190</v>
      </c>
      <c r="J32" s="120" t="s">
        <v>307</v>
      </c>
      <c r="K32" s="120" t="s">
        <v>308</v>
      </c>
      <c r="L32" s="120" t="s">
        <v>315</v>
      </c>
      <c r="M32" s="195">
        <v>3</v>
      </c>
      <c r="N32" s="119" t="s">
        <v>316</v>
      </c>
      <c r="O32" s="119" t="s">
        <v>317</v>
      </c>
      <c r="P32" s="203" t="s">
        <v>877</v>
      </c>
      <c r="Q32" s="204" t="s">
        <v>878</v>
      </c>
      <c r="R32" s="205" t="s">
        <v>879</v>
      </c>
      <c r="S32" s="206" t="s">
        <v>880</v>
      </c>
      <c r="T32" s="207" t="s">
        <v>881</v>
      </c>
      <c r="U32" s="120" t="s">
        <v>171</v>
      </c>
      <c r="V32" s="120" t="s">
        <v>250</v>
      </c>
      <c r="W32" s="120" t="s">
        <v>209</v>
      </c>
      <c r="X32" s="120" t="s">
        <v>199</v>
      </c>
      <c r="Y32" s="212" t="s">
        <v>269</v>
      </c>
      <c r="Z32" s="78"/>
    </row>
    <row r="33" spans="1:26" ht="119" customHeight="1">
      <c r="A33" s="78"/>
      <c r="B33" s="194">
        <v>32</v>
      </c>
      <c r="C33" s="279"/>
      <c r="D33" s="120" t="s">
        <v>305</v>
      </c>
      <c r="E33" s="120" t="s">
        <v>306</v>
      </c>
      <c r="F33" s="120" t="s">
        <v>318</v>
      </c>
      <c r="G33" s="120" t="s">
        <v>174</v>
      </c>
      <c r="H33" s="120" t="s">
        <v>319</v>
      </c>
      <c r="I33" s="120" t="s">
        <v>190</v>
      </c>
      <c r="J33" s="120" t="s">
        <v>307</v>
      </c>
      <c r="K33" s="120" t="s">
        <v>308</v>
      </c>
      <c r="L33" s="120" t="s">
        <v>320</v>
      </c>
      <c r="M33" s="195">
        <v>4</v>
      </c>
      <c r="N33" s="119" t="s">
        <v>321</v>
      </c>
      <c r="O33" s="119" t="s">
        <v>322</v>
      </c>
      <c r="P33" s="203" t="s">
        <v>882</v>
      </c>
      <c r="Q33" s="204" t="s">
        <v>883</v>
      </c>
      <c r="R33" s="205" t="s">
        <v>884</v>
      </c>
      <c r="S33" s="206" t="s">
        <v>885</v>
      </c>
      <c r="T33" s="207" t="s">
        <v>886</v>
      </c>
      <c r="U33" s="120" t="s">
        <v>210</v>
      </c>
      <c r="V33" s="120" t="s">
        <v>208</v>
      </c>
      <c r="W33" s="120" t="s">
        <v>209</v>
      </c>
      <c r="X33" s="120" t="s">
        <v>199</v>
      </c>
      <c r="Y33" s="212" t="s">
        <v>269</v>
      </c>
      <c r="Z33" s="78"/>
    </row>
    <row r="34" spans="1:26" ht="119" customHeight="1">
      <c r="A34" s="78"/>
      <c r="B34" s="194">
        <v>33</v>
      </c>
      <c r="C34" s="279"/>
      <c r="D34" s="120" t="s">
        <v>305</v>
      </c>
      <c r="E34" s="120" t="s">
        <v>306</v>
      </c>
      <c r="F34" s="120" t="s">
        <v>145</v>
      </c>
      <c r="G34" s="120" t="s">
        <v>174</v>
      </c>
      <c r="H34" s="120" t="s">
        <v>147</v>
      </c>
      <c r="I34" s="120" t="s">
        <v>190</v>
      </c>
      <c r="J34" s="120" t="s">
        <v>307</v>
      </c>
      <c r="K34" s="120" t="s">
        <v>308</v>
      </c>
      <c r="L34" s="120" t="s">
        <v>323</v>
      </c>
      <c r="M34" s="195">
        <v>5</v>
      </c>
      <c r="N34" s="119" t="s">
        <v>324</v>
      </c>
      <c r="O34" s="119" t="s">
        <v>325</v>
      </c>
      <c r="P34" s="203" t="s">
        <v>887</v>
      </c>
      <c r="Q34" s="204" t="s">
        <v>888</v>
      </c>
      <c r="R34" s="205" t="s">
        <v>889</v>
      </c>
      <c r="S34" s="206" t="s">
        <v>890</v>
      </c>
      <c r="T34" s="207" t="s">
        <v>891</v>
      </c>
      <c r="U34" s="120" t="s">
        <v>156</v>
      </c>
      <c r="V34" s="120" t="s">
        <v>169</v>
      </c>
      <c r="W34" s="120" t="s">
        <v>155</v>
      </c>
      <c r="X34" s="120" t="s">
        <v>157</v>
      </c>
      <c r="Y34" s="212" t="s">
        <v>165</v>
      </c>
      <c r="Z34" s="78"/>
    </row>
    <row r="35" spans="1:26" ht="119" customHeight="1">
      <c r="A35" s="78"/>
      <c r="B35" s="194">
        <v>34</v>
      </c>
      <c r="C35" s="279"/>
      <c r="D35" s="120" t="s">
        <v>326</v>
      </c>
      <c r="E35" s="120" t="s">
        <v>327</v>
      </c>
      <c r="F35" s="120" t="s">
        <v>278</v>
      </c>
      <c r="G35" s="120" t="s">
        <v>174</v>
      </c>
      <c r="H35" s="120" t="s">
        <v>279</v>
      </c>
      <c r="I35" s="120" t="s">
        <v>190</v>
      </c>
      <c r="J35" s="120" t="s">
        <v>328</v>
      </c>
      <c r="K35" s="120" t="s">
        <v>329</v>
      </c>
      <c r="L35" s="120" t="s">
        <v>330</v>
      </c>
      <c r="M35" s="195">
        <v>6</v>
      </c>
      <c r="N35" s="119" t="s">
        <v>331</v>
      </c>
      <c r="O35" s="119" t="s">
        <v>332</v>
      </c>
      <c r="P35" s="203" t="s">
        <v>892</v>
      </c>
      <c r="Q35" s="204" t="s">
        <v>893</v>
      </c>
      <c r="R35" s="205" t="s">
        <v>894</v>
      </c>
      <c r="S35" s="206" t="s">
        <v>895</v>
      </c>
      <c r="T35" s="207" t="s">
        <v>896</v>
      </c>
      <c r="U35" s="120" t="s">
        <v>156</v>
      </c>
      <c r="V35" s="120" t="s">
        <v>154</v>
      </c>
      <c r="W35" s="120" t="s">
        <v>246</v>
      </c>
      <c r="X35" s="120" t="s">
        <v>157</v>
      </c>
      <c r="Y35" s="212" t="s">
        <v>165</v>
      </c>
      <c r="Z35" s="78"/>
    </row>
    <row r="36" spans="1:26" ht="119" customHeight="1">
      <c r="A36" s="78"/>
      <c r="B36" s="194">
        <v>35</v>
      </c>
      <c r="C36" s="279"/>
      <c r="D36" s="120" t="s">
        <v>326</v>
      </c>
      <c r="E36" s="120" t="s">
        <v>327</v>
      </c>
      <c r="F36" s="120" t="s">
        <v>278</v>
      </c>
      <c r="G36" s="120" t="s">
        <v>174</v>
      </c>
      <c r="H36" s="120" t="s">
        <v>279</v>
      </c>
      <c r="I36" s="120" t="s">
        <v>190</v>
      </c>
      <c r="J36" s="120" t="s">
        <v>328</v>
      </c>
      <c r="K36" s="120" t="s">
        <v>329</v>
      </c>
      <c r="L36" s="120" t="s">
        <v>333</v>
      </c>
      <c r="M36" s="195">
        <v>7</v>
      </c>
      <c r="N36" s="119" t="s">
        <v>334</v>
      </c>
      <c r="O36" s="119" t="s">
        <v>335</v>
      </c>
      <c r="P36" s="203" t="s">
        <v>897</v>
      </c>
      <c r="Q36" s="204" t="s">
        <v>898</v>
      </c>
      <c r="R36" s="205" t="s">
        <v>899</v>
      </c>
      <c r="S36" s="206" t="s">
        <v>900</v>
      </c>
      <c r="T36" s="207" t="s">
        <v>901</v>
      </c>
      <c r="U36" s="120" t="s">
        <v>171</v>
      </c>
      <c r="V36" s="120" t="s">
        <v>169</v>
      </c>
      <c r="W36" s="120" t="s">
        <v>234</v>
      </c>
      <c r="X36" s="120" t="s">
        <v>199</v>
      </c>
      <c r="Y36" s="212" t="s">
        <v>165</v>
      </c>
      <c r="Z36" s="78"/>
    </row>
    <row r="37" spans="1:26" ht="119" customHeight="1">
      <c r="A37" s="78"/>
      <c r="B37" s="194">
        <v>36</v>
      </c>
      <c r="C37" s="279"/>
      <c r="D37" s="120" t="s">
        <v>326</v>
      </c>
      <c r="E37" s="120" t="s">
        <v>327</v>
      </c>
      <c r="F37" s="120" t="s">
        <v>278</v>
      </c>
      <c r="G37" s="120" t="s">
        <v>174</v>
      </c>
      <c r="H37" s="120" t="s">
        <v>279</v>
      </c>
      <c r="I37" s="120" t="s">
        <v>190</v>
      </c>
      <c r="J37" s="120" t="s">
        <v>328</v>
      </c>
      <c r="K37" s="120" t="s">
        <v>329</v>
      </c>
      <c r="L37" s="120" t="s">
        <v>336</v>
      </c>
      <c r="M37" s="195">
        <v>8</v>
      </c>
      <c r="N37" s="119" t="s">
        <v>337</v>
      </c>
      <c r="O37" s="119" t="s">
        <v>338</v>
      </c>
      <c r="P37" s="203" t="s">
        <v>902</v>
      </c>
      <c r="Q37" s="204" t="s">
        <v>903</v>
      </c>
      <c r="R37" s="205" t="s">
        <v>904</v>
      </c>
      <c r="S37" s="206" t="s">
        <v>905</v>
      </c>
      <c r="T37" s="207" t="s">
        <v>906</v>
      </c>
      <c r="U37" s="120" t="s">
        <v>204</v>
      </c>
      <c r="V37" s="120" t="s">
        <v>250</v>
      </c>
      <c r="W37" s="120" t="s">
        <v>339</v>
      </c>
      <c r="X37" s="120" t="s">
        <v>157</v>
      </c>
      <c r="Y37" s="212" t="s">
        <v>165</v>
      </c>
      <c r="Z37" s="78"/>
    </row>
    <row r="38" spans="1:26" ht="119" customHeight="1">
      <c r="A38" s="78"/>
      <c r="B38" s="194">
        <v>37</v>
      </c>
      <c r="C38" s="279"/>
      <c r="D38" s="120" t="s">
        <v>340</v>
      </c>
      <c r="E38" s="120" t="s">
        <v>341</v>
      </c>
      <c r="F38" s="120" t="s">
        <v>318</v>
      </c>
      <c r="G38" s="120" t="s">
        <v>174</v>
      </c>
      <c r="H38" s="120" t="s">
        <v>319</v>
      </c>
      <c r="I38" s="120" t="s">
        <v>342</v>
      </c>
      <c r="J38" s="120" t="s">
        <v>343</v>
      </c>
      <c r="K38" s="120" t="s">
        <v>344</v>
      </c>
      <c r="L38" s="120" t="s">
        <v>345</v>
      </c>
      <c r="M38" s="195">
        <v>9</v>
      </c>
      <c r="N38" s="119" t="s">
        <v>346</v>
      </c>
      <c r="O38" s="119" t="s">
        <v>347</v>
      </c>
      <c r="P38" s="203" t="s">
        <v>907</v>
      </c>
      <c r="Q38" s="204" t="s">
        <v>908</v>
      </c>
      <c r="R38" s="205" t="s">
        <v>909</v>
      </c>
      <c r="S38" s="206" t="s">
        <v>910</v>
      </c>
      <c r="T38" s="207" t="s">
        <v>911</v>
      </c>
      <c r="U38" s="120" t="s">
        <v>156</v>
      </c>
      <c r="V38" s="120" t="s">
        <v>154</v>
      </c>
      <c r="W38" s="120" t="s">
        <v>246</v>
      </c>
      <c r="X38" s="120" t="s">
        <v>199</v>
      </c>
      <c r="Y38" s="212" t="s">
        <v>269</v>
      </c>
      <c r="Z38" s="78"/>
    </row>
    <row r="39" spans="1:26" ht="119" customHeight="1">
      <c r="A39" s="78"/>
      <c r="B39" s="194">
        <v>38</v>
      </c>
      <c r="C39" s="279"/>
      <c r="D39" s="120" t="s">
        <v>340</v>
      </c>
      <c r="E39" s="120" t="s">
        <v>341</v>
      </c>
      <c r="F39" s="120" t="s">
        <v>318</v>
      </c>
      <c r="G39" s="120" t="s">
        <v>174</v>
      </c>
      <c r="H39" s="120" t="s">
        <v>319</v>
      </c>
      <c r="I39" s="120" t="s">
        <v>342</v>
      </c>
      <c r="J39" s="120" t="s">
        <v>343</v>
      </c>
      <c r="K39" s="120" t="s">
        <v>344</v>
      </c>
      <c r="L39" s="120" t="s">
        <v>348</v>
      </c>
      <c r="M39" s="195">
        <v>10</v>
      </c>
      <c r="N39" s="119" t="s">
        <v>349</v>
      </c>
      <c r="O39" s="119" t="s">
        <v>350</v>
      </c>
      <c r="P39" s="203" t="s">
        <v>912</v>
      </c>
      <c r="Q39" s="204" t="s">
        <v>913</v>
      </c>
      <c r="R39" s="205" t="s">
        <v>914</v>
      </c>
      <c r="S39" s="206" t="s">
        <v>915</v>
      </c>
      <c r="T39" s="207" t="s">
        <v>916</v>
      </c>
      <c r="U39" s="120" t="s">
        <v>171</v>
      </c>
      <c r="V39" s="120" t="s">
        <v>184</v>
      </c>
      <c r="W39" s="120" t="s">
        <v>184</v>
      </c>
      <c r="X39" s="120" t="s">
        <v>199</v>
      </c>
      <c r="Y39" s="212" t="s">
        <v>269</v>
      </c>
      <c r="Z39" s="78"/>
    </row>
    <row r="40" spans="1:26" ht="119" customHeight="1">
      <c r="A40" s="78"/>
      <c r="B40" s="194">
        <v>39</v>
      </c>
      <c r="C40" s="279"/>
      <c r="D40" s="120" t="s">
        <v>340</v>
      </c>
      <c r="E40" s="120" t="s">
        <v>341</v>
      </c>
      <c r="F40" s="120" t="s">
        <v>278</v>
      </c>
      <c r="G40" s="120" t="s">
        <v>174</v>
      </c>
      <c r="H40" s="120" t="s">
        <v>279</v>
      </c>
      <c r="I40" s="120" t="s">
        <v>342</v>
      </c>
      <c r="J40" s="120" t="s">
        <v>343</v>
      </c>
      <c r="K40" s="120" t="s">
        <v>344</v>
      </c>
      <c r="L40" s="120" t="s">
        <v>351</v>
      </c>
      <c r="M40" s="195">
        <v>11</v>
      </c>
      <c r="N40" s="119" t="s">
        <v>352</v>
      </c>
      <c r="O40" s="119" t="s">
        <v>353</v>
      </c>
      <c r="P40" s="203" t="s">
        <v>917</v>
      </c>
      <c r="Q40" s="204" t="s">
        <v>918</v>
      </c>
      <c r="R40" s="205" t="s">
        <v>919</v>
      </c>
      <c r="S40" s="206" t="s">
        <v>920</v>
      </c>
      <c r="T40" s="207" t="s">
        <v>921</v>
      </c>
      <c r="U40" s="120" t="s">
        <v>164</v>
      </c>
      <c r="V40" s="120" t="s">
        <v>250</v>
      </c>
      <c r="W40" s="120" t="s">
        <v>209</v>
      </c>
      <c r="X40" s="120" t="s">
        <v>157</v>
      </c>
      <c r="Y40" s="212" t="s">
        <v>165</v>
      </c>
      <c r="Z40" s="78"/>
    </row>
    <row r="41" spans="1:26" ht="119" customHeight="1">
      <c r="A41" s="78"/>
      <c r="B41" s="194">
        <v>40</v>
      </c>
      <c r="C41" s="279" t="s">
        <v>719</v>
      </c>
      <c r="D41" s="120" t="s">
        <v>354</v>
      </c>
      <c r="E41" s="120" t="s">
        <v>355</v>
      </c>
      <c r="F41" s="120" t="s">
        <v>145</v>
      </c>
      <c r="G41" s="120" t="s">
        <v>263</v>
      </c>
      <c r="H41" s="120" t="s">
        <v>147</v>
      </c>
      <c r="I41" s="120" t="s">
        <v>148</v>
      </c>
      <c r="J41" s="120" t="s">
        <v>356</v>
      </c>
      <c r="K41" s="120" t="s">
        <v>357</v>
      </c>
      <c r="L41" s="120" t="s">
        <v>358</v>
      </c>
      <c r="M41" s="195">
        <v>1</v>
      </c>
      <c r="N41" s="119" t="s">
        <v>359</v>
      </c>
      <c r="O41" s="119" t="s">
        <v>360</v>
      </c>
      <c r="P41" s="203" t="s">
        <v>922</v>
      </c>
      <c r="Q41" s="204" t="s">
        <v>923</v>
      </c>
      <c r="R41" s="205" t="s">
        <v>924</v>
      </c>
      <c r="S41" s="206" t="s">
        <v>925</v>
      </c>
      <c r="T41" s="207" t="s">
        <v>926</v>
      </c>
      <c r="U41" s="120" t="s">
        <v>156</v>
      </c>
      <c r="V41" s="120" t="s">
        <v>154</v>
      </c>
      <c r="W41" s="120" t="s">
        <v>155</v>
      </c>
      <c r="X41" s="120" t="s">
        <v>199</v>
      </c>
      <c r="Y41" s="212" t="s">
        <v>269</v>
      </c>
      <c r="Z41" s="78"/>
    </row>
    <row r="42" spans="1:26" ht="119" customHeight="1">
      <c r="A42" s="78"/>
      <c r="B42" s="194">
        <v>41</v>
      </c>
      <c r="C42" s="279"/>
      <c r="D42" s="120" t="s">
        <v>354</v>
      </c>
      <c r="E42" s="120" t="s">
        <v>355</v>
      </c>
      <c r="F42" s="120" t="s">
        <v>145</v>
      </c>
      <c r="G42" s="120" t="s">
        <v>263</v>
      </c>
      <c r="H42" s="120" t="s">
        <v>147</v>
      </c>
      <c r="I42" s="120" t="s">
        <v>148</v>
      </c>
      <c r="J42" s="120" t="s">
        <v>356</v>
      </c>
      <c r="K42" s="120" t="s">
        <v>357</v>
      </c>
      <c r="L42" s="120" t="s">
        <v>361</v>
      </c>
      <c r="M42" s="195">
        <v>2</v>
      </c>
      <c r="N42" s="119" t="s">
        <v>362</v>
      </c>
      <c r="O42" s="119" t="s">
        <v>363</v>
      </c>
      <c r="P42" s="203" t="s">
        <v>927</v>
      </c>
      <c r="Q42" s="204" t="s">
        <v>928</v>
      </c>
      <c r="R42" s="205" t="s">
        <v>929</v>
      </c>
      <c r="S42" s="206" t="s">
        <v>930</v>
      </c>
      <c r="T42" s="207" t="s">
        <v>931</v>
      </c>
      <c r="U42" s="120" t="s">
        <v>164</v>
      </c>
      <c r="V42" s="120" t="s">
        <v>169</v>
      </c>
      <c r="W42" s="120" t="s">
        <v>234</v>
      </c>
      <c r="X42" s="120" t="s">
        <v>199</v>
      </c>
      <c r="Y42" s="212" t="s">
        <v>269</v>
      </c>
      <c r="Z42" s="78"/>
    </row>
    <row r="43" spans="1:26" ht="119" customHeight="1">
      <c r="A43" s="78"/>
      <c r="B43" s="194">
        <v>42</v>
      </c>
      <c r="C43" s="279"/>
      <c r="D43" s="120" t="s">
        <v>354</v>
      </c>
      <c r="E43" s="120" t="s">
        <v>355</v>
      </c>
      <c r="F43" s="120" t="s">
        <v>145</v>
      </c>
      <c r="G43" s="120" t="s">
        <v>263</v>
      </c>
      <c r="H43" s="120" t="s">
        <v>147</v>
      </c>
      <c r="I43" s="120" t="s">
        <v>148</v>
      </c>
      <c r="J43" s="120" t="s">
        <v>356</v>
      </c>
      <c r="K43" s="120" t="s">
        <v>357</v>
      </c>
      <c r="L43" s="120" t="s">
        <v>364</v>
      </c>
      <c r="M43" s="195">
        <v>3</v>
      </c>
      <c r="N43" s="119" t="s">
        <v>365</v>
      </c>
      <c r="O43" s="119" t="s">
        <v>366</v>
      </c>
      <c r="P43" s="203" t="s">
        <v>932</v>
      </c>
      <c r="Q43" s="204" t="s">
        <v>933</v>
      </c>
      <c r="R43" s="205" t="s">
        <v>934</v>
      </c>
      <c r="S43" s="206" t="s">
        <v>935</v>
      </c>
      <c r="T43" s="207" t="s">
        <v>936</v>
      </c>
      <c r="U43" s="120" t="s">
        <v>171</v>
      </c>
      <c r="V43" s="120" t="s">
        <v>169</v>
      </c>
      <c r="W43" s="120" t="s">
        <v>170</v>
      </c>
      <c r="X43" s="120" t="s">
        <v>199</v>
      </c>
      <c r="Y43" s="212" t="s">
        <v>269</v>
      </c>
      <c r="Z43" s="78"/>
    </row>
    <row r="44" spans="1:26" ht="119" customHeight="1">
      <c r="A44" s="78"/>
      <c r="B44" s="194">
        <v>43</v>
      </c>
      <c r="C44" s="279"/>
      <c r="D44" s="120" t="s">
        <v>354</v>
      </c>
      <c r="E44" s="120" t="s">
        <v>355</v>
      </c>
      <c r="F44" s="120" t="s">
        <v>145</v>
      </c>
      <c r="G44" s="120" t="s">
        <v>263</v>
      </c>
      <c r="H44" s="120" t="s">
        <v>147</v>
      </c>
      <c r="I44" s="120" t="s">
        <v>148</v>
      </c>
      <c r="J44" s="120" t="s">
        <v>356</v>
      </c>
      <c r="K44" s="120" t="s">
        <v>357</v>
      </c>
      <c r="L44" s="120" t="s">
        <v>367</v>
      </c>
      <c r="M44" s="195">
        <v>4</v>
      </c>
      <c r="N44" s="119" t="s">
        <v>368</v>
      </c>
      <c r="O44" s="119" t="s">
        <v>369</v>
      </c>
      <c r="P44" s="203" t="s">
        <v>937</v>
      </c>
      <c r="Q44" s="204" t="s">
        <v>938</v>
      </c>
      <c r="R44" s="205" t="s">
        <v>939</v>
      </c>
      <c r="S44" s="206" t="s">
        <v>940</v>
      </c>
      <c r="T44" s="207" t="s">
        <v>941</v>
      </c>
      <c r="U44" s="120" t="s">
        <v>204</v>
      </c>
      <c r="V44" s="120" t="s">
        <v>184</v>
      </c>
      <c r="W44" s="120" t="s">
        <v>184</v>
      </c>
      <c r="X44" s="120" t="s">
        <v>157</v>
      </c>
      <c r="Y44" s="212" t="s">
        <v>269</v>
      </c>
      <c r="Z44" s="78"/>
    </row>
    <row r="45" spans="1:26" ht="119" customHeight="1">
      <c r="A45" s="78"/>
      <c r="B45" s="194">
        <v>44</v>
      </c>
      <c r="C45" s="279"/>
      <c r="D45" s="120" t="s">
        <v>354</v>
      </c>
      <c r="E45" s="120" t="s">
        <v>355</v>
      </c>
      <c r="F45" s="120" t="s">
        <v>318</v>
      </c>
      <c r="G45" s="120" t="s">
        <v>263</v>
      </c>
      <c r="H45" s="120" t="s">
        <v>319</v>
      </c>
      <c r="I45" s="120" t="s">
        <v>148</v>
      </c>
      <c r="J45" s="120" t="s">
        <v>356</v>
      </c>
      <c r="K45" s="120" t="s">
        <v>357</v>
      </c>
      <c r="L45" s="120" t="s">
        <v>370</v>
      </c>
      <c r="M45" s="195">
        <v>5</v>
      </c>
      <c r="N45" s="119" t="s">
        <v>371</v>
      </c>
      <c r="O45" s="119" t="s">
        <v>372</v>
      </c>
      <c r="P45" s="203" t="s">
        <v>942</v>
      </c>
      <c r="Q45" s="204" t="s">
        <v>943</v>
      </c>
      <c r="R45" s="205" t="s">
        <v>944</v>
      </c>
      <c r="S45" s="206" t="s">
        <v>945</v>
      </c>
      <c r="T45" s="207" t="s">
        <v>946</v>
      </c>
      <c r="U45" s="120" t="s">
        <v>210</v>
      </c>
      <c r="V45" s="120" t="s">
        <v>208</v>
      </c>
      <c r="W45" s="120" t="s">
        <v>209</v>
      </c>
      <c r="X45" s="120" t="s">
        <v>199</v>
      </c>
      <c r="Y45" s="212" t="s">
        <v>269</v>
      </c>
      <c r="Z45" s="78"/>
    </row>
    <row r="46" spans="1:26" ht="119" customHeight="1">
      <c r="A46" s="78"/>
      <c r="B46" s="194">
        <v>45</v>
      </c>
      <c r="C46" s="279"/>
      <c r="D46" s="120" t="s">
        <v>354</v>
      </c>
      <c r="E46" s="120" t="s">
        <v>355</v>
      </c>
      <c r="F46" s="120" t="s">
        <v>318</v>
      </c>
      <c r="G46" s="120" t="s">
        <v>263</v>
      </c>
      <c r="H46" s="120" t="s">
        <v>319</v>
      </c>
      <c r="I46" s="120" t="s">
        <v>148</v>
      </c>
      <c r="J46" s="120" t="s">
        <v>356</v>
      </c>
      <c r="K46" s="120" t="s">
        <v>357</v>
      </c>
      <c r="L46" s="120" t="s">
        <v>373</v>
      </c>
      <c r="M46" s="195">
        <v>6</v>
      </c>
      <c r="N46" s="119" t="s">
        <v>374</v>
      </c>
      <c r="O46" s="119" t="s">
        <v>375</v>
      </c>
      <c r="P46" s="203" t="s">
        <v>947</v>
      </c>
      <c r="Q46" s="204" t="s">
        <v>948</v>
      </c>
      <c r="R46" s="205" t="s">
        <v>949</v>
      </c>
      <c r="S46" s="206" t="s">
        <v>950</v>
      </c>
      <c r="T46" s="207" t="s">
        <v>951</v>
      </c>
      <c r="U46" s="120" t="s">
        <v>156</v>
      </c>
      <c r="V46" s="120" t="s">
        <v>154</v>
      </c>
      <c r="W46" s="120" t="s">
        <v>246</v>
      </c>
      <c r="X46" s="120" t="s">
        <v>157</v>
      </c>
      <c r="Y46" s="212" t="s">
        <v>165</v>
      </c>
      <c r="Z46" s="78"/>
    </row>
    <row r="47" spans="1:26" ht="119" customHeight="1">
      <c r="A47" s="78"/>
      <c r="B47" s="194">
        <v>46</v>
      </c>
      <c r="C47" s="279"/>
      <c r="D47" s="120" t="s">
        <v>354</v>
      </c>
      <c r="E47" s="120" t="s">
        <v>355</v>
      </c>
      <c r="F47" s="120" t="s">
        <v>318</v>
      </c>
      <c r="G47" s="120" t="s">
        <v>263</v>
      </c>
      <c r="H47" s="120" t="s">
        <v>319</v>
      </c>
      <c r="I47" s="120" t="s">
        <v>148</v>
      </c>
      <c r="J47" s="120" t="s">
        <v>356</v>
      </c>
      <c r="K47" s="120" t="s">
        <v>357</v>
      </c>
      <c r="L47" s="120" t="s">
        <v>376</v>
      </c>
      <c r="M47" s="195">
        <v>7</v>
      </c>
      <c r="N47" s="119" t="s">
        <v>377</v>
      </c>
      <c r="O47" s="119" t="s">
        <v>378</v>
      </c>
      <c r="P47" s="203" t="s">
        <v>952</v>
      </c>
      <c r="Q47" s="204" t="s">
        <v>953</v>
      </c>
      <c r="R47" s="205" t="s">
        <v>954</v>
      </c>
      <c r="S47" s="206" t="s">
        <v>955</v>
      </c>
      <c r="T47" s="207" t="s">
        <v>956</v>
      </c>
      <c r="U47" s="120" t="s">
        <v>171</v>
      </c>
      <c r="V47" s="120" t="s">
        <v>250</v>
      </c>
      <c r="W47" s="120" t="s">
        <v>170</v>
      </c>
      <c r="X47" s="120" t="s">
        <v>157</v>
      </c>
      <c r="Y47" s="212" t="s">
        <v>165</v>
      </c>
      <c r="Z47" s="78"/>
    </row>
    <row r="48" spans="1:26" ht="119" customHeight="1">
      <c r="A48" s="78"/>
      <c r="B48" s="194">
        <v>47</v>
      </c>
      <c r="C48" s="279"/>
      <c r="D48" s="120" t="s">
        <v>354</v>
      </c>
      <c r="E48" s="120" t="s">
        <v>355</v>
      </c>
      <c r="F48" s="120" t="s">
        <v>145</v>
      </c>
      <c r="G48" s="120" t="s">
        <v>263</v>
      </c>
      <c r="H48" s="120" t="s">
        <v>147</v>
      </c>
      <c r="I48" s="120" t="s">
        <v>148</v>
      </c>
      <c r="J48" s="120" t="s">
        <v>356</v>
      </c>
      <c r="K48" s="120" t="s">
        <v>357</v>
      </c>
      <c r="L48" s="120" t="s">
        <v>379</v>
      </c>
      <c r="M48" s="195">
        <v>8</v>
      </c>
      <c r="N48" s="119" t="s">
        <v>380</v>
      </c>
      <c r="O48" s="119" t="s">
        <v>381</v>
      </c>
      <c r="P48" s="203" t="s">
        <v>957</v>
      </c>
      <c r="Q48" s="204" t="s">
        <v>958</v>
      </c>
      <c r="R48" s="205" t="s">
        <v>959</v>
      </c>
      <c r="S48" s="206" t="s">
        <v>960</v>
      </c>
      <c r="T48" s="207" t="s">
        <v>961</v>
      </c>
      <c r="U48" s="120" t="s">
        <v>164</v>
      </c>
      <c r="V48" s="120" t="s">
        <v>169</v>
      </c>
      <c r="W48" s="120" t="s">
        <v>382</v>
      </c>
      <c r="X48" s="120" t="s">
        <v>157</v>
      </c>
      <c r="Y48" s="212" t="s">
        <v>165</v>
      </c>
      <c r="Z48" s="78"/>
    </row>
    <row r="49" spans="1:26" ht="119" customHeight="1">
      <c r="A49" s="78"/>
      <c r="B49" s="194">
        <v>48</v>
      </c>
      <c r="C49" s="279"/>
      <c r="D49" s="120" t="s">
        <v>383</v>
      </c>
      <c r="E49" s="120" t="s">
        <v>384</v>
      </c>
      <c r="F49" s="120" t="s">
        <v>278</v>
      </c>
      <c r="G49" s="120" t="s">
        <v>216</v>
      </c>
      <c r="H49" s="120" t="s">
        <v>279</v>
      </c>
      <c r="I49" s="120" t="s">
        <v>148</v>
      </c>
      <c r="J49" s="120" t="s">
        <v>385</v>
      </c>
      <c r="K49" s="120" t="s">
        <v>386</v>
      </c>
      <c r="L49" s="120" t="s">
        <v>387</v>
      </c>
      <c r="M49" s="195">
        <v>9</v>
      </c>
      <c r="N49" s="119" t="s">
        <v>388</v>
      </c>
      <c r="O49" s="119" t="s">
        <v>389</v>
      </c>
      <c r="P49" s="203" t="s">
        <v>962</v>
      </c>
      <c r="Q49" s="204" t="s">
        <v>963</v>
      </c>
      <c r="R49" s="205" t="s">
        <v>964</v>
      </c>
      <c r="S49" s="206" t="s">
        <v>965</v>
      </c>
      <c r="T49" s="207" t="s">
        <v>966</v>
      </c>
      <c r="U49" s="120" t="s">
        <v>156</v>
      </c>
      <c r="V49" s="120" t="s">
        <v>154</v>
      </c>
      <c r="W49" s="120" t="s">
        <v>155</v>
      </c>
      <c r="X49" s="120" t="s">
        <v>157</v>
      </c>
      <c r="Y49" s="212" t="s">
        <v>165</v>
      </c>
      <c r="Z49" s="78"/>
    </row>
    <row r="50" spans="1:26" ht="119" customHeight="1">
      <c r="A50" s="78"/>
      <c r="B50" s="194">
        <v>49</v>
      </c>
      <c r="C50" s="279"/>
      <c r="D50" s="120" t="s">
        <v>383</v>
      </c>
      <c r="E50" s="120" t="s">
        <v>384</v>
      </c>
      <c r="F50" s="120" t="s">
        <v>145</v>
      </c>
      <c r="G50" s="120" t="s">
        <v>216</v>
      </c>
      <c r="H50" s="120" t="s">
        <v>147</v>
      </c>
      <c r="I50" s="120" t="s">
        <v>148</v>
      </c>
      <c r="J50" s="120" t="s">
        <v>385</v>
      </c>
      <c r="K50" s="120" t="s">
        <v>386</v>
      </c>
      <c r="L50" s="120" t="s">
        <v>390</v>
      </c>
      <c r="M50" s="195">
        <v>10</v>
      </c>
      <c r="N50" s="119" t="s">
        <v>391</v>
      </c>
      <c r="O50" s="119" t="s">
        <v>392</v>
      </c>
      <c r="P50" s="203" t="s">
        <v>967</v>
      </c>
      <c r="Q50" s="204" t="s">
        <v>968</v>
      </c>
      <c r="R50" s="205" t="s">
        <v>969</v>
      </c>
      <c r="S50" s="206" t="s">
        <v>970</v>
      </c>
      <c r="T50" s="207" t="s">
        <v>971</v>
      </c>
      <c r="U50" s="120" t="s">
        <v>171</v>
      </c>
      <c r="V50" s="120" t="s">
        <v>184</v>
      </c>
      <c r="W50" s="120" t="s">
        <v>184</v>
      </c>
      <c r="X50" s="120" t="s">
        <v>157</v>
      </c>
      <c r="Y50" s="212" t="s">
        <v>165</v>
      </c>
      <c r="Z50" s="78"/>
    </row>
    <row r="51" spans="1:26" ht="119" customHeight="1">
      <c r="A51" s="78"/>
      <c r="B51" s="194">
        <v>50</v>
      </c>
      <c r="C51" s="279"/>
      <c r="D51" s="120" t="s">
        <v>383</v>
      </c>
      <c r="E51" s="120" t="s">
        <v>384</v>
      </c>
      <c r="F51" s="120" t="s">
        <v>278</v>
      </c>
      <c r="G51" s="120" t="s">
        <v>216</v>
      </c>
      <c r="H51" s="120" t="s">
        <v>279</v>
      </c>
      <c r="I51" s="120" t="s">
        <v>148</v>
      </c>
      <c r="J51" s="120" t="s">
        <v>385</v>
      </c>
      <c r="K51" s="120" t="s">
        <v>386</v>
      </c>
      <c r="L51" s="120" t="s">
        <v>393</v>
      </c>
      <c r="M51" s="195">
        <v>11</v>
      </c>
      <c r="N51" s="119" t="s">
        <v>394</v>
      </c>
      <c r="O51" s="119" t="s">
        <v>395</v>
      </c>
      <c r="P51" s="203" t="s">
        <v>972</v>
      </c>
      <c r="Q51" s="204" t="s">
        <v>973</v>
      </c>
      <c r="R51" s="205" t="s">
        <v>974</v>
      </c>
      <c r="S51" s="206" t="s">
        <v>975</v>
      </c>
      <c r="T51" s="207" t="s">
        <v>976</v>
      </c>
      <c r="U51" s="120" t="s">
        <v>164</v>
      </c>
      <c r="V51" s="120" t="s">
        <v>184</v>
      </c>
      <c r="W51" s="120" t="s">
        <v>184</v>
      </c>
      <c r="X51" s="120" t="s">
        <v>396</v>
      </c>
      <c r="Y51" s="212" t="s">
        <v>158</v>
      </c>
      <c r="Z51" s="78"/>
    </row>
    <row r="52" spans="1:26" ht="119" customHeight="1">
      <c r="A52" s="78"/>
      <c r="B52" s="194">
        <v>51</v>
      </c>
      <c r="C52" s="279"/>
      <c r="D52" s="120" t="s">
        <v>397</v>
      </c>
      <c r="E52" s="120" t="s">
        <v>398</v>
      </c>
      <c r="F52" s="120" t="s">
        <v>145</v>
      </c>
      <c r="G52" s="120" t="s">
        <v>146</v>
      </c>
      <c r="H52" s="120" t="s">
        <v>147</v>
      </c>
      <c r="I52" s="120" t="s">
        <v>148</v>
      </c>
      <c r="J52" s="120" t="s">
        <v>399</v>
      </c>
      <c r="K52" s="120" t="s">
        <v>400</v>
      </c>
      <c r="L52" s="120" t="s">
        <v>401</v>
      </c>
      <c r="M52" s="195">
        <v>12</v>
      </c>
      <c r="N52" s="119" t="s">
        <v>402</v>
      </c>
      <c r="O52" s="119" t="s">
        <v>403</v>
      </c>
      <c r="P52" s="203" t="s">
        <v>977</v>
      </c>
      <c r="Q52" s="204" t="s">
        <v>978</v>
      </c>
      <c r="R52" s="205" t="s">
        <v>979</v>
      </c>
      <c r="S52" s="206" t="s">
        <v>980</v>
      </c>
      <c r="T52" s="207" t="s">
        <v>981</v>
      </c>
      <c r="U52" s="120" t="s">
        <v>156</v>
      </c>
      <c r="V52" s="120" t="s">
        <v>154</v>
      </c>
      <c r="W52" s="120" t="s">
        <v>155</v>
      </c>
      <c r="X52" s="120" t="s">
        <v>199</v>
      </c>
      <c r="Y52" s="212" t="s">
        <v>269</v>
      </c>
      <c r="Z52" s="78"/>
    </row>
    <row r="53" spans="1:26" ht="119" customHeight="1">
      <c r="A53" s="78"/>
      <c r="B53" s="194">
        <v>52</v>
      </c>
      <c r="C53" s="279"/>
      <c r="D53" s="120" t="s">
        <v>397</v>
      </c>
      <c r="E53" s="120" t="s">
        <v>398</v>
      </c>
      <c r="F53" s="120" t="s">
        <v>145</v>
      </c>
      <c r="G53" s="120" t="s">
        <v>146</v>
      </c>
      <c r="H53" s="120" t="s">
        <v>147</v>
      </c>
      <c r="I53" s="120" t="s">
        <v>148</v>
      </c>
      <c r="J53" s="120" t="s">
        <v>399</v>
      </c>
      <c r="K53" s="120" t="s">
        <v>400</v>
      </c>
      <c r="L53" s="120" t="s">
        <v>404</v>
      </c>
      <c r="M53" s="195">
        <v>13</v>
      </c>
      <c r="N53" s="119" t="s">
        <v>405</v>
      </c>
      <c r="O53" s="119" t="s">
        <v>406</v>
      </c>
      <c r="P53" s="203" t="s">
        <v>982</v>
      </c>
      <c r="Q53" s="204" t="s">
        <v>983</v>
      </c>
      <c r="R53" s="205" t="s">
        <v>984</v>
      </c>
      <c r="S53" s="206" t="s">
        <v>985</v>
      </c>
      <c r="T53" s="207" t="s">
        <v>986</v>
      </c>
      <c r="U53" s="120" t="s">
        <v>171</v>
      </c>
      <c r="V53" s="120" t="s">
        <v>250</v>
      </c>
      <c r="W53" s="120" t="s">
        <v>170</v>
      </c>
      <c r="X53" s="120" t="s">
        <v>199</v>
      </c>
      <c r="Y53" s="212" t="s">
        <v>269</v>
      </c>
      <c r="Z53" s="78"/>
    </row>
    <row r="54" spans="1:26" ht="119" customHeight="1">
      <c r="A54" s="78"/>
      <c r="B54" s="194">
        <v>53</v>
      </c>
      <c r="C54" s="279"/>
      <c r="D54" s="120" t="s">
        <v>397</v>
      </c>
      <c r="E54" s="120" t="s">
        <v>398</v>
      </c>
      <c r="F54" s="120" t="s">
        <v>145</v>
      </c>
      <c r="G54" s="120" t="s">
        <v>146</v>
      </c>
      <c r="H54" s="120" t="s">
        <v>147</v>
      </c>
      <c r="I54" s="120" t="s">
        <v>148</v>
      </c>
      <c r="J54" s="120" t="s">
        <v>399</v>
      </c>
      <c r="K54" s="120" t="s">
        <v>400</v>
      </c>
      <c r="L54" s="120" t="s">
        <v>407</v>
      </c>
      <c r="M54" s="195">
        <v>14</v>
      </c>
      <c r="N54" s="119" t="s">
        <v>408</v>
      </c>
      <c r="O54" s="119" t="s">
        <v>409</v>
      </c>
      <c r="P54" s="203" t="s">
        <v>987</v>
      </c>
      <c r="Q54" s="204" t="s">
        <v>988</v>
      </c>
      <c r="R54" s="205" t="s">
        <v>989</v>
      </c>
      <c r="S54" s="206" t="s">
        <v>990</v>
      </c>
      <c r="T54" s="207" t="s">
        <v>991</v>
      </c>
      <c r="U54" s="120" t="s">
        <v>204</v>
      </c>
      <c r="V54" s="120" t="s">
        <v>410</v>
      </c>
      <c r="W54" s="120" t="s">
        <v>339</v>
      </c>
      <c r="X54" s="120" t="s">
        <v>199</v>
      </c>
      <c r="Y54" s="212" t="s">
        <v>269</v>
      </c>
      <c r="Z54" s="78"/>
    </row>
    <row r="55" spans="1:26" ht="119" customHeight="1">
      <c r="A55" s="78"/>
      <c r="B55" s="194">
        <v>54</v>
      </c>
      <c r="C55" s="279"/>
      <c r="D55" s="120" t="s">
        <v>397</v>
      </c>
      <c r="E55" s="120" t="s">
        <v>398</v>
      </c>
      <c r="F55" s="120" t="s">
        <v>145</v>
      </c>
      <c r="G55" s="120" t="s">
        <v>146</v>
      </c>
      <c r="H55" s="120" t="s">
        <v>147</v>
      </c>
      <c r="I55" s="120" t="s">
        <v>148</v>
      </c>
      <c r="J55" s="120" t="s">
        <v>399</v>
      </c>
      <c r="K55" s="120" t="s">
        <v>400</v>
      </c>
      <c r="L55" s="120" t="s">
        <v>411</v>
      </c>
      <c r="M55" s="195">
        <v>15</v>
      </c>
      <c r="N55" s="119" t="s">
        <v>412</v>
      </c>
      <c r="O55" s="119" t="s">
        <v>413</v>
      </c>
      <c r="P55" s="203" t="s">
        <v>992</v>
      </c>
      <c r="Q55" s="204" t="s">
        <v>993</v>
      </c>
      <c r="R55" s="205" t="s">
        <v>994</v>
      </c>
      <c r="S55" s="206" t="s">
        <v>995</v>
      </c>
      <c r="T55" s="207" t="s">
        <v>996</v>
      </c>
      <c r="U55" s="120" t="s">
        <v>291</v>
      </c>
      <c r="V55" s="120" t="s">
        <v>169</v>
      </c>
      <c r="W55" s="120" t="s">
        <v>170</v>
      </c>
      <c r="X55" s="120" t="s">
        <v>199</v>
      </c>
      <c r="Y55" s="212" t="s">
        <v>269</v>
      </c>
      <c r="Z55" s="78"/>
    </row>
    <row r="56" spans="1:26" ht="119" customHeight="1">
      <c r="A56" s="78"/>
      <c r="B56" s="194">
        <v>55</v>
      </c>
      <c r="C56" s="279"/>
      <c r="D56" s="120" t="s">
        <v>414</v>
      </c>
      <c r="E56" s="120" t="s">
        <v>415</v>
      </c>
      <c r="F56" s="120" t="s">
        <v>318</v>
      </c>
      <c r="G56" s="120" t="s">
        <v>174</v>
      </c>
      <c r="H56" s="120" t="s">
        <v>319</v>
      </c>
      <c r="I56" s="120" t="s">
        <v>416</v>
      </c>
      <c r="J56" s="120" t="s">
        <v>417</v>
      </c>
      <c r="K56" s="120" t="s">
        <v>418</v>
      </c>
      <c r="L56" s="120" t="s">
        <v>419</v>
      </c>
      <c r="M56" s="195">
        <v>16</v>
      </c>
      <c r="N56" s="119" t="s">
        <v>420</v>
      </c>
      <c r="O56" s="119" t="s">
        <v>421</v>
      </c>
      <c r="P56" s="203" t="s">
        <v>997</v>
      </c>
      <c r="Q56" s="204" t="s">
        <v>998</v>
      </c>
      <c r="R56" s="205" t="s">
        <v>999</v>
      </c>
      <c r="S56" s="206" t="s">
        <v>1000</v>
      </c>
      <c r="T56" s="207" t="s">
        <v>1001</v>
      </c>
      <c r="U56" s="120" t="s">
        <v>156</v>
      </c>
      <c r="V56" s="120" t="s">
        <v>154</v>
      </c>
      <c r="W56" s="120" t="s">
        <v>246</v>
      </c>
      <c r="X56" s="120" t="s">
        <v>199</v>
      </c>
      <c r="Y56" s="212" t="s">
        <v>269</v>
      </c>
      <c r="Z56" s="78"/>
    </row>
    <row r="57" spans="1:26" ht="119" customHeight="1">
      <c r="A57" s="78"/>
      <c r="B57" s="194">
        <v>56</v>
      </c>
      <c r="C57" s="279"/>
      <c r="D57" s="120" t="s">
        <v>414</v>
      </c>
      <c r="E57" s="120" t="s">
        <v>415</v>
      </c>
      <c r="F57" s="120" t="s">
        <v>318</v>
      </c>
      <c r="G57" s="120" t="s">
        <v>174</v>
      </c>
      <c r="H57" s="120" t="s">
        <v>319</v>
      </c>
      <c r="I57" s="120" t="s">
        <v>416</v>
      </c>
      <c r="J57" s="120" t="s">
        <v>417</v>
      </c>
      <c r="K57" s="120" t="s">
        <v>418</v>
      </c>
      <c r="L57" s="120" t="s">
        <v>422</v>
      </c>
      <c r="M57" s="195">
        <v>17</v>
      </c>
      <c r="N57" s="119" t="s">
        <v>423</v>
      </c>
      <c r="O57" s="119" t="s">
        <v>424</v>
      </c>
      <c r="P57" s="203" t="s">
        <v>1002</v>
      </c>
      <c r="Q57" s="204" t="s">
        <v>1003</v>
      </c>
      <c r="R57" s="205" t="s">
        <v>1004</v>
      </c>
      <c r="S57" s="206" t="s">
        <v>1005</v>
      </c>
      <c r="T57" s="207" t="s">
        <v>1006</v>
      </c>
      <c r="U57" s="120" t="s">
        <v>171</v>
      </c>
      <c r="V57" s="120" t="s">
        <v>250</v>
      </c>
      <c r="W57" s="120" t="s">
        <v>234</v>
      </c>
      <c r="X57" s="120" t="s">
        <v>199</v>
      </c>
      <c r="Y57" s="212" t="s">
        <v>269</v>
      </c>
      <c r="Z57" s="78"/>
    </row>
    <row r="58" spans="1:26" ht="119" customHeight="1">
      <c r="A58" s="78"/>
      <c r="B58" s="194">
        <v>57</v>
      </c>
      <c r="C58" s="279" t="s">
        <v>720</v>
      </c>
      <c r="D58" s="120" t="s">
        <v>425</v>
      </c>
      <c r="E58" s="120" t="s">
        <v>426</v>
      </c>
      <c r="F58" s="120" t="s">
        <v>318</v>
      </c>
      <c r="G58" s="120" t="s">
        <v>216</v>
      </c>
      <c r="H58" s="120" t="s">
        <v>319</v>
      </c>
      <c r="I58" s="120" t="s">
        <v>190</v>
      </c>
      <c r="J58" s="120" t="s">
        <v>427</v>
      </c>
      <c r="K58" s="120" t="s">
        <v>428</v>
      </c>
      <c r="L58" s="120" t="s">
        <v>429</v>
      </c>
      <c r="M58" s="195">
        <v>1</v>
      </c>
      <c r="N58" s="119" t="s">
        <v>430</v>
      </c>
      <c r="O58" s="119" t="s">
        <v>431</v>
      </c>
      <c r="P58" s="203" t="s">
        <v>1007</v>
      </c>
      <c r="Q58" s="204" t="s">
        <v>1008</v>
      </c>
      <c r="R58" s="205" t="s">
        <v>1009</v>
      </c>
      <c r="S58" s="206" t="s">
        <v>1010</v>
      </c>
      <c r="T58" s="207" t="s">
        <v>1011</v>
      </c>
      <c r="U58" s="120" t="s">
        <v>156</v>
      </c>
      <c r="V58" s="120" t="s">
        <v>154</v>
      </c>
      <c r="W58" s="120" t="s">
        <v>246</v>
      </c>
      <c r="X58" s="120" t="s">
        <v>199</v>
      </c>
      <c r="Y58" s="212" t="s">
        <v>269</v>
      </c>
      <c r="Z58" s="78"/>
    </row>
    <row r="59" spans="1:26" ht="119" customHeight="1">
      <c r="A59" s="78"/>
      <c r="B59" s="194">
        <v>58</v>
      </c>
      <c r="C59" s="279"/>
      <c r="D59" s="120" t="s">
        <v>425</v>
      </c>
      <c r="E59" s="120" t="s">
        <v>426</v>
      </c>
      <c r="F59" s="120" t="s">
        <v>318</v>
      </c>
      <c r="G59" s="120" t="s">
        <v>216</v>
      </c>
      <c r="H59" s="120" t="s">
        <v>319</v>
      </c>
      <c r="I59" s="120" t="s">
        <v>190</v>
      </c>
      <c r="J59" s="120" t="s">
        <v>427</v>
      </c>
      <c r="K59" s="120" t="s">
        <v>428</v>
      </c>
      <c r="L59" s="120" t="s">
        <v>432</v>
      </c>
      <c r="M59" s="195">
        <v>2</v>
      </c>
      <c r="N59" s="119" t="s">
        <v>433</v>
      </c>
      <c r="O59" s="119" t="s">
        <v>434</v>
      </c>
      <c r="P59" s="203" t="s">
        <v>1012</v>
      </c>
      <c r="Q59" s="204" t="s">
        <v>1013</v>
      </c>
      <c r="R59" s="205" t="s">
        <v>1014</v>
      </c>
      <c r="S59" s="206" t="s">
        <v>1015</v>
      </c>
      <c r="T59" s="207" t="s">
        <v>1016</v>
      </c>
      <c r="U59" s="120" t="s">
        <v>164</v>
      </c>
      <c r="V59" s="120" t="s">
        <v>250</v>
      </c>
      <c r="W59" s="120" t="s">
        <v>209</v>
      </c>
      <c r="X59" s="120" t="s">
        <v>199</v>
      </c>
      <c r="Y59" s="212" t="s">
        <v>269</v>
      </c>
      <c r="Z59" s="78"/>
    </row>
    <row r="60" spans="1:26" ht="119" customHeight="1">
      <c r="A60" s="78"/>
      <c r="B60" s="194">
        <v>59</v>
      </c>
      <c r="C60" s="279"/>
      <c r="D60" s="120" t="s">
        <v>425</v>
      </c>
      <c r="E60" s="120" t="s">
        <v>426</v>
      </c>
      <c r="F60" s="120" t="s">
        <v>318</v>
      </c>
      <c r="G60" s="120" t="s">
        <v>216</v>
      </c>
      <c r="H60" s="120" t="s">
        <v>319</v>
      </c>
      <c r="I60" s="120" t="s">
        <v>190</v>
      </c>
      <c r="J60" s="120" t="s">
        <v>427</v>
      </c>
      <c r="K60" s="120" t="s">
        <v>428</v>
      </c>
      <c r="L60" s="120" t="s">
        <v>435</v>
      </c>
      <c r="M60" s="195">
        <v>3</v>
      </c>
      <c r="N60" s="119" t="s">
        <v>436</v>
      </c>
      <c r="O60" s="119" t="s">
        <v>437</v>
      </c>
      <c r="P60" s="203" t="s">
        <v>1017</v>
      </c>
      <c r="Q60" s="204" t="s">
        <v>1018</v>
      </c>
      <c r="R60" s="205" t="s">
        <v>1019</v>
      </c>
      <c r="S60" s="206" t="s">
        <v>1020</v>
      </c>
      <c r="T60" s="207" t="s">
        <v>1021</v>
      </c>
      <c r="U60" s="120" t="s">
        <v>171</v>
      </c>
      <c r="V60" s="120" t="s">
        <v>250</v>
      </c>
      <c r="W60" s="120" t="s">
        <v>339</v>
      </c>
      <c r="X60" s="120" t="s">
        <v>199</v>
      </c>
      <c r="Y60" s="212" t="s">
        <v>269</v>
      </c>
      <c r="Z60" s="78"/>
    </row>
    <row r="61" spans="1:26" ht="119" customHeight="1">
      <c r="A61" s="78"/>
      <c r="B61" s="194">
        <v>60</v>
      </c>
      <c r="C61" s="279"/>
      <c r="D61" s="120" t="s">
        <v>438</v>
      </c>
      <c r="E61" s="120" t="s">
        <v>439</v>
      </c>
      <c r="F61" s="120" t="s">
        <v>318</v>
      </c>
      <c r="G61" s="120" t="s">
        <v>146</v>
      </c>
      <c r="H61" s="120" t="s">
        <v>319</v>
      </c>
      <c r="I61" s="120" t="s">
        <v>148</v>
      </c>
      <c r="J61" s="120" t="s">
        <v>440</v>
      </c>
      <c r="K61" s="120" t="s">
        <v>441</v>
      </c>
      <c r="L61" s="120" t="s">
        <v>442</v>
      </c>
      <c r="M61" s="195">
        <v>4</v>
      </c>
      <c r="N61" s="119" t="s">
        <v>443</v>
      </c>
      <c r="O61" s="119" t="s">
        <v>444</v>
      </c>
      <c r="P61" s="203" t="s">
        <v>1022</v>
      </c>
      <c r="Q61" s="204" t="s">
        <v>1023</v>
      </c>
      <c r="R61" s="205" t="s">
        <v>1024</v>
      </c>
      <c r="S61" s="206" t="s">
        <v>1025</v>
      </c>
      <c r="T61" s="207" t="s">
        <v>1026</v>
      </c>
      <c r="U61" s="120" t="s">
        <v>156</v>
      </c>
      <c r="V61" s="120" t="s">
        <v>154</v>
      </c>
      <c r="W61" s="120" t="s">
        <v>155</v>
      </c>
      <c r="X61" s="120" t="s">
        <v>199</v>
      </c>
      <c r="Y61" s="212" t="s">
        <v>269</v>
      </c>
      <c r="Z61" s="78"/>
    </row>
    <row r="62" spans="1:26" ht="119" customHeight="1">
      <c r="A62" s="78"/>
      <c r="B62" s="194">
        <v>61</v>
      </c>
      <c r="C62" s="279"/>
      <c r="D62" s="120" t="s">
        <v>438</v>
      </c>
      <c r="E62" s="120" t="s">
        <v>439</v>
      </c>
      <c r="F62" s="120" t="s">
        <v>318</v>
      </c>
      <c r="G62" s="120" t="s">
        <v>146</v>
      </c>
      <c r="H62" s="120" t="s">
        <v>319</v>
      </c>
      <c r="I62" s="120" t="s">
        <v>148</v>
      </c>
      <c r="J62" s="120" t="s">
        <v>440</v>
      </c>
      <c r="K62" s="120" t="s">
        <v>441</v>
      </c>
      <c r="L62" s="120" t="s">
        <v>445</v>
      </c>
      <c r="M62" s="195">
        <v>5</v>
      </c>
      <c r="N62" s="119" t="s">
        <v>446</v>
      </c>
      <c r="O62" s="119" t="s">
        <v>447</v>
      </c>
      <c r="P62" s="203" t="s">
        <v>1027</v>
      </c>
      <c r="Q62" s="204" t="s">
        <v>1028</v>
      </c>
      <c r="R62" s="205" t="s">
        <v>1029</v>
      </c>
      <c r="S62" s="206" t="s">
        <v>1030</v>
      </c>
      <c r="T62" s="207" t="s">
        <v>1031</v>
      </c>
      <c r="U62" s="120" t="s">
        <v>171</v>
      </c>
      <c r="V62" s="120" t="s">
        <v>250</v>
      </c>
      <c r="W62" s="120" t="s">
        <v>170</v>
      </c>
      <c r="X62" s="120" t="s">
        <v>199</v>
      </c>
      <c r="Y62" s="212" t="s">
        <v>269</v>
      </c>
      <c r="Z62" s="78"/>
    </row>
    <row r="63" spans="1:26" ht="119" customHeight="1">
      <c r="A63" s="78"/>
      <c r="B63" s="194">
        <v>62</v>
      </c>
      <c r="C63" s="279"/>
      <c r="D63" s="120" t="s">
        <v>438</v>
      </c>
      <c r="E63" s="120" t="s">
        <v>439</v>
      </c>
      <c r="F63" s="120" t="s">
        <v>318</v>
      </c>
      <c r="G63" s="120" t="s">
        <v>146</v>
      </c>
      <c r="H63" s="120" t="s">
        <v>319</v>
      </c>
      <c r="I63" s="120" t="s">
        <v>148</v>
      </c>
      <c r="J63" s="120" t="s">
        <v>440</v>
      </c>
      <c r="K63" s="120" t="s">
        <v>441</v>
      </c>
      <c r="L63" s="120" t="s">
        <v>448</v>
      </c>
      <c r="M63" s="195">
        <v>6</v>
      </c>
      <c r="N63" s="119" t="s">
        <v>449</v>
      </c>
      <c r="O63" s="119" t="s">
        <v>450</v>
      </c>
      <c r="P63" s="203" t="s">
        <v>1032</v>
      </c>
      <c r="Q63" s="204" t="s">
        <v>1033</v>
      </c>
      <c r="R63" s="205" t="s">
        <v>1034</v>
      </c>
      <c r="S63" s="206" t="s">
        <v>1035</v>
      </c>
      <c r="T63" s="207" t="s">
        <v>1036</v>
      </c>
      <c r="U63" s="120" t="s">
        <v>204</v>
      </c>
      <c r="V63" s="120" t="s">
        <v>410</v>
      </c>
      <c r="W63" s="120" t="s">
        <v>170</v>
      </c>
      <c r="X63" s="120" t="s">
        <v>199</v>
      </c>
      <c r="Y63" s="212" t="s">
        <v>269</v>
      </c>
      <c r="Z63" s="78"/>
    </row>
    <row r="64" spans="1:26" ht="119" customHeight="1">
      <c r="A64" s="78"/>
      <c r="B64" s="194">
        <v>63</v>
      </c>
      <c r="C64" s="279"/>
      <c r="D64" s="120" t="s">
        <v>438</v>
      </c>
      <c r="E64" s="120" t="s">
        <v>439</v>
      </c>
      <c r="F64" s="120" t="s">
        <v>318</v>
      </c>
      <c r="G64" s="120" t="s">
        <v>146</v>
      </c>
      <c r="H64" s="120" t="s">
        <v>319</v>
      </c>
      <c r="I64" s="120" t="s">
        <v>148</v>
      </c>
      <c r="J64" s="120" t="s">
        <v>440</v>
      </c>
      <c r="K64" s="120" t="s">
        <v>441</v>
      </c>
      <c r="L64" s="120" t="s">
        <v>451</v>
      </c>
      <c r="M64" s="195">
        <v>7</v>
      </c>
      <c r="N64" s="119" t="s">
        <v>452</v>
      </c>
      <c r="O64" s="119" t="s">
        <v>453</v>
      </c>
      <c r="P64" s="203" t="s">
        <v>1037</v>
      </c>
      <c r="Q64" s="204" t="s">
        <v>1038</v>
      </c>
      <c r="R64" s="205" t="s">
        <v>1039</v>
      </c>
      <c r="S64" s="206" t="s">
        <v>1040</v>
      </c>
      <c r="T64" s="207" t="s">
        <v>1041</v>
      </c>
      <c r="U64" s="120" t="s">
        <v>210</v>
      </c>
      <c r="V64" s="120" t="s">
        <v>208</v>
      </c>
      <c r="W64" s="120" t="s">
        <v>209</v>
      </c>
      <c r="X64" s="120" t="s">
        <v>199</v>
      </c>
      <c r="Y64" s="212" t="s">
        <v>269</v>
      </c>
      <c r="Z64" s="78"/>
    </row>
    <row r="65" spans="1:26" ht="119" customHeight="1">
      <c r="A65" s="78"/>
      <c r="B65" s="194">
        <v>64</v>
      </c>
      <c r="C65" s="279"/>
      <c r="D65" s="120" t="s">
        <v>438</v>
      </c>
      <c r="E65" s="120" t="s">
        <v>439</v>
      </c>
      <c r="F65" s="120" t="s">
        <v>318</v>
      </c>
      <c r="G65" s="120" t="s">
        <v>146</v>
      </c>
      <c r="H65" s="120" t="s">
        <v>319</v>
      </c>
      <c r="I65" s="120" t="s">
        <v>148</v>
      </c>
      <c r="J65" s="120" t="s">
        <v>440</v>
      </c>
      <c r="K65" s="120" t="s">
        <v>441</v>
      </c>
      <c r="L65" s="120" t="s">
        <v>454</v>
      </c>
      <c r="M65" s="195">
        <v>8</v>
      </c>
      <c r="N65" s="119" t="s">
        <v>455</v>
      </c>
      <c r="O65" s="119" t="s">
        <v>456</v>
      </c>
      <c r="P65" s="203" t="s">
        <v>1042</v>
      </c>
      <c r="Q65" s="204" t="s">
        <v>1043</v>
      </c>
      <c r="R65" s="205" t="s">
        <v>1044</v>
      </c>
      <c r="S65" s="206" t="s">
        <v>1045</v>
      </c>
      <c r="T65" s="207" t="s">
        <v>1046</v>
      </c>
      <c r="U65" s="120" t="s">
        <v>291</v>
      </c>
      <c r="V65" s="120" t="s">
        <v>250</v>
      </c>
      <c r="W65" s="120" t="s">
        <v>209</v>
      </c>
      <c r="X65" s="120" t="s">
        <v>199</v>
      </c>
      <c r="Y65" s="212" t="s">
        <v>269</v>
      </c>
      <c r="Z65" s="78"/>
    </row>
    <row r="66" spans="1:26" ht="119" customHeight="1">
      <c r="A66" s="78"/>
      <c r="B66" s="194">
        <v>65</v>
      </c>
      <c r="C66" s="279"/>
      <c r="D66" s="120" t="s">
        <v>457</v>
      </c>
      <c r="E66" s="120" t="s">
        <v>458</v>
      </c>
      <c r="F66" s="120" t="s">
        <v>318</v>
      </c>
      <c r="G66" s="120" t="s">
        <v>263</v>
      </c>
      <c r="H66" s="120" t="s">
        <v>319</v>
      </c>
      <c r="I66" s="120" t="s">
        <v>190</v>
      </c>
      <c r="J66" s="120" t="s">
        <v>459</v>
      </c>
      <c r="K66" s="120" t="s">
        <v>460</v>
      </c>
      <c r="L66" s="120" t="s">
        <v>461</v>
      </c>
      <c r="M66" s="195">
        <v>9</v>
      </c>
      <c r="N66" s="119" t="s">
        <v>462</v>
      </c>
      <c r="O66" s="119" t="s">
        <v>463</v>
      </c>
      <c r="P66" s="203" t="s">
        <v>1047</v>
      </c>
      <c r="Q66" s="204" t="s">
        <v>1048</v>
      </c>
      <c r="R66" s="205" t="s">
        <v>1049</v>
      </c>
      <c r="S66" s="206" t="s">
        <v>1050</v>
      </c>
      <c r="T66" s="207" t="s">
        <v>1051</v>
      </c>
      <c r="U66" s="120" t="s">
        <v>210</v>
      </c>
      <c r="V66" s="120" t="s">
        <v>208</v>
      </c>
      <c r="W66" s="120" t="s">
        <v>209</v>
      </c>
      <c r="X66" s="120" t="s">
        <v>199</v>
      </c>
      <c r="Y66" s="212" t="s">
        <v>269</v>
      </c>
      <c r="Z66" s="78"/>
    </row>
    <row r="67" spans="1:26" ht="119" customHeight="1">
      <c r="A67" s="78"/>
      <c r="B67" s="194">
        <v>66</v>
      </c>
      <c r="C67" s="279"/>
      <c r="D67" s="120" t="s">
        <v>457</v>
      </c>
      <c r="E67" s="120" t="s">
        <v>458</v>
      </c>
      <c r="F67" s="120" t="s">
        <v>318</v>
      </c>
      <c r="G67" s="120" t="s">
        <v>263</v>
      </c>
      <c r="H67" s="120" t="s">
        <v>319</v>
      </c>
      <c r="I67" s="120" t="s">
        <v>190</v>
      </c>
      <c r="J67" s="120" t="s">
        <v>459</v>
      </c>
      <c r="K67" s="120" t="s">
        <v>460</v>
      </c>
      <c r="L67" s="120" t="s">
        <v>464</v>
      </c>
      <c r="M67" s="195">
        <v>10</v>
      </c>
      <c r="N67" s="119" t="s">
        <v>465</v>
      </c>
      <c r="O67" s="119" t="s">
        <v>466</v>
      </c>
      <c r="P67" s="203" t="s">
        <v>1052</v>
      </c>
      <c r="Q67" s="204" t="s">
        <v>1053</v>
      </c>
      <c r="R67" s="205" t="s">
        <v>1054</v>
      </c>
      <c r="S67" s="206" t="s">
        <v>1055</v>
      </c>
      <c r="T67" s="207" t="s">
        <v>1056</v>
      </c>
      <c r="U67" s="120" t="s">
        <v>156</v>
      </c>
      <c r="V67" s="120" t="s">
        <v>154</v>
      </c>
      <c r="W67" s="120" t="s">
        <v>155</v>
      </c>
      <c r="X67" s="120" t="s">
        <v>157</v>
      </c>
      <c r="Y67" s="212" t="s">
        <v>165</v>
      </c>
      <c r="Z67" s="78"/>
    </row>
    <row r="68" spans="1:26" ht="119" customHeight="1">
      <c r="A68" s="78"/>
      <c r="B68" s="194">
        <v>67</v>
      </c>
      <c r="C68" s="279"/>
      <c r="D68" s="120" t="s">
        <v>467</v>
      </c>
      <c r="E68" s="120" t="s">
        <v>468</v>
      </c>
      <c r="F68" s="120" t="s">
        <v>145</v>
      </c>
      <c r="G68" s="120" t="s">
        <v>263</v>
      </c>
      <c r="H68" s="120" t="s">
        <v>147</v>
      </c>
      <c r="I68" s="120" t="s">
        <v>190</v>
      </c>
      <c r="J68" s="120" t="s">
        <v>469</v>
      </c>
      <c r="K68" s="120" t="s">
        <v>470</v>
      </c>
      <c r="L68" s="120" t="s">
        <v>471</v>
      </c>
      <c r="M68" s="195">
        <v>11</v>
      </c>
      <c r="N68" s="119" t="s">
        <v>472</v>
      </c>
      <c r="O68" s="119" t="s">
        <v>473</v>
      </c>
      <c r="P68" s="203" t="s">
        <v>1057</v>
      </c>
      <c r="Q68" s="204" t="s">
        <v>1058</v>
      </c>
      <c r="R68" s="205" t="s">
        <v>1059</v>
      </c>
      <c r="S68" s="206" t="s">
        <v>1060</v>
      </c>
      <c r="T68" s="207" t="s">
        <v>1061</v>
      </c>
      <c r="U68" s="120" t="s">
        <v>156</v>
      </c>
      <c r="V68" s="120" t="s">
        <v>154</v>
      </c>
      <c r="W68" s="120" t="s">
        <v>155</v>
      </c>
      <c r="X68" s="120" t="s">
        <v>157</v>
      </c>
      <c r="Y68" s="212" t="s">
        <v>165</v>
      </c>
      <c r="Z68" s="78"/>
    </row>
    <row r="69" spans="1:26" ht="119" customHeight="1">
      <c r="A69" s="78"/>
      <c r="B69" s="194">
        <v>68</v>
      </c>
      <c r="C69" s="279"/>
      <c r="D69" s="120" t="s">
        <v>467</v>
      </c>
      <c r="E69" s="120" t="s">
        <v>468</v>
      </c>
      <c r="F69" s="120" t="s">
        <v>145</v>
      </c>
      <c r="G69" s="120" t="s">
        <v>263</v>
      </c>
      <c r="H69" s="120" t="s">
        <v>147</v>
      </c>
      <c r="I69" s="120" t="s">
        <v>190</v>
      </c>
      <c r="J69" s="120" t="s">
        <v>469</v>
      </c>
      <c r="K69" s="120" t="s">
        <v>470</v>
      </c>
      <c r="L69" s="120" t="s">
        <v>474</v>
      </c>
      <c r="M69" s="195">
        <v>12</v>
      </c>
      <c r="N69" s="119" t="s">
        <v>475</v>
      </c>
      <c r="O69" s="119" t="s">
        <v>476</v>
      </c>
      <c r="P69" s="203" t="s">
        <v>1062</v>
      </c>
      <c r="Q69" s="204" t="s">
        <v>1063</v>
      </c>
      <c r="R69" s="205" t="s">
        <v>1064</v>
      </c>
      <c r="S69" s="206" t="s">
        <v>1065</v>
      </c>
      <c r="T69" s="207" t="s">
        <v>1066</v>
      </c>
      <c r="U69" s="120" t="s">
        <v>171</v>
      </c>
      <c r="V69" s="120" t="s">
        <v>184</v>
      </c>
      <c r="W69" s="120" t="s">
        <v>184</v>
      </c>
      <c r="X69" s="120" t="s">
        <v>157</v>
      </c>
      <c r="Y69" s="212" t="s">
        <v>165</v>
      </c>
      <c r="Z69" s="78"/>
    </row>
    <row r="70" spans="1:26" ht="119" customHeight="1">
      <c r="A70" s="78"/>
      <c r="B70" s="194">
        <v>69</v>
      </c>
      <c r="C70" s="279" t="s">
        <v>721</v>
      </c>
      <c r="D70" s="120" t="s">
        <v>477</v>
      </c>
      <c r="E70" s="120" t="s">
        <v>478</v>
      </c>
      <c r="F70" s="120" t="s">
        <v>318</v>
      </c>
      <c r="G70" s="120" t="s">
        <v>263</v>
      </c>
      <c r="H70" s="120" t="s">
        <v>319</v>
      </c>
      <c r="I70" s="120" t="s">
        <v>190</v>
      </c>
      <c r="J70" s="120" t="s">
        <v>479</v>
      </c>
      <c r="K70" s="120" t="s">
        <v>480</v>
      </c>
      <c r="L70" s="120" t="s">
        <v>481</v>
      </c>
      <c r="M70" s="195">
        <v>1</v>
      </c>
      <c r="N70" s="119" t="s">
        <v>482</v>
      </c>
      <c r="O70" s="119" t="s">
        <v>483</v>
      </c>
      <c r="P70" s="203" t="s">
        <v>1067</v>
      </c>
      <c r="Q70" s="204" t="s">
        <v>1068</v>
      </c>
      <c r="R70" s="205" t="s">
        <v>1069</v>
      </c>
      <c r="S70" s="206" t="s">
        <v>1070</v>
      </c>
      <c r="T70" s="207" t="s">
        <v>1071</v>
      </c>
      <c r="U70" s="120" t="s">
        <v>156</v>
      </c>
      <c r="V70" s="120" t="s">
        <v>154</v>
      </c>
      <c r="W70" s="120" t="s">
        <v>246</v>
      </c>
      <c r="X70" s="120" t="s">
        <v>199</v>
      </c>
      <c r="Y70" s="212" t="s">
        <v>165</v>
      </c>
      <c r="Z70" s="78"/>
    </row>
    <row r="71" spans="1:26" ht="119" customHeight="1">
      <c r="A71" s="78"/>
      <c r="B71" s="194">
        <v>70</v>
      </c>
      <c r="C71" s="279"/>
      <c r="D71" s="120" t="s">
        <v>477</v>
      </c>
      <c r="E71" s="120" t="s">
        <v>478</v>
      </c>
      <c r="F71" s="120" t="s">
        <v>318</v>
      </c>
      <c r="G71" s="120" t="s">
        <v>263</v>
      </c>
      <c r="H71" s="120" t="s">
        <v>319</v>
      </c>
      <c r="I71" s="120" t="s">
        <v>190</v>
      </c>
      <c r="J71" s="120" t="s">
        <v>479</v>
      </c>
      <c r="K71" s="120" t="s">
        <v>480</v>
      </c>
      <c r="L71" s="120" t="s">
        <v>484</v>
      </c>
      <c r="M71" s="195">
        <v>2</v>
      </c>
      <c r="N71" s="119" t="s">
        <v>485</v>
      </c>
      <c r="O71" s="119" t="s">
        <v>486</v>
      </c>
      <c r="P71" s="203" t="s">
        <v>1072</v>
      </c>
      <c r="Q71" s="204" t="s">
        <v>1073</v>
      </c>
      <c r="R71" s="205" t="s">
        <v>1074</v>
      </c>
      <c r="S71" s="206" t="s">
        <v>1075</v>
      </c>
      <c r="T71" s="207" t="s">
        <v>1076</v>
      </c>
      <c r="U71" s="120" t="s">
        <v>164</v>
      </c>
      <c r="V71" s="120" t="s">
        <v>169</v>
      </c>
      <c r="W71" s="120" t="s">
        <v>209</v>
      </c>
      <c r="X71" s="120" t="s">
        <v>199</v>
      </c>
      <c r="Y71" s="212" t="s">
        <v>165</v>
      </c>
      <c r="Z71" s="78"/>
    </row>
    <row r="72" spans="1:26" ht="119" customHeight="1">
      <c r="A72" s="78"/>
      <c r="B72" s="194">
        <v>71</v>
      </c>
      <c r="C72" s="279"/>
      <c r="D72" s="120" t="s">
        <v>487</v>
      </c>
      <c r="E72" s="120" t="s">
        <v>488</v>
      </c>
      <c r="F72" s="120" t="s">
        <v>318</v>
      </c>
      <c r="G72" s="120" t="s">
        <v>263</v>
      </c>
      <c r="H72" s="120" t="s">
        <v>319</v>
      </c>
      <c r="I72" s="120" t="s">
        <v>190</v>
      </c>
      <c r="J72" s="120" t="s">
        <v>489</v>
      </c>
      <c r="K72" s="120" t="s">
        <v>490</v>
      </c>
      <c r="L72" s="120" t="s">
        <v>491</v>
      </c>
      <c r="M72" s="195">
        <v>3</v>
      </c>
      <c r="N72" s="119" t="s">
        <v>492</v>
      </c>
      <c r="O72" s="119" t="s">
        <v>493</v>
      </c>
      <c r="P72" s="203" t="s">
        <v>1077</v>
      </c>
      <c r="Q72" s="204" t="s">
        <v>1078</v>
      </c>
      <c r="R72" s="205" t="s">
        <v>1079</v>
      </c>
      <c r="S72" s="206" t="s">
        <v>1080</v>
      </c>
      <c r="T72" s="207" t="s">
        <v>1081</v>
      </c>
      <c r="U72" s="120" t="s">
        <v>171</v>
      </c>
      <c r="V72" s="120" t="s">
        <v>169</v>
      </c>
      <c r="W72" s="120" t="s">
        <v>209</v>
      </c>
      <c r="X72" s="120" t="s">
        <v>199</v>
      </c>
      <c r="Y72" s="212" t="s">
        <v>165</v>
      </c>
      <c r="Z72" s="78"/>
    </row>
    <row r="73" spans="1:26" ht="119" customHeight="1">
      <c r="A73" s="78"/>
      <c r="B73" s="194">
        <v>72</v>
      </c>
      <c r="C73" s="279"/>
      <c r="D73" s="120" t="s">
        <v>487</v>
      </c>
      <c r="E73" s="120" t="s">
        <v>488</v>
      </c>
      <c r="F73" s="120" t="s">
        <v>318</v>
      </c>
      <c r="G73" s="120" t="s">
        <v>263</v>
      </c>
      <c r="H73" s="120" t="s">
        <v>319</v>
      </c>
      <c r="I73" s="120" t="s">
        <v>190</v>
      </c>
      <c r="J73" s="120" t="s">
        <v>489</v>
      </c>
      <c r="K73" s="120" t="s">
        <v>490</v>
      </c>
      <c r="L73" s="120" t="s">
        <v>494</v>
      </c>
      <c r="M73" s="195">
        <v>4</v>
      </c>
      <c r="N73" s="119" t="s">
        <v>495</v>
      </c>
      <c r="O73" s="119" t="s">
        <v>496</v>
      </c>
      <c r="P73" s="203" t="s">
        <v>1082</v>
      </c>
      <c r="Q73" s="204" t="s">
        <v>1083</v>
      </c>
      <c r="R73" s="205" t="s">
        <v>1084</v>
      </c>
      <c r="S73" s="206" t="s">
        <v>1085</v>
      </c>
      <c r="T73" s="207" t="s">
        <v>1086</v>
      </c>
      <c r="U73" s="120" t="s">
        <v>210</v>
      </c>
      <c r="V73" s="120" t="s">
        <v>208</v>
      </c>
      <c r="W73" s="120" t="s">
        <v>209</v>
      </c>
      <c r="X73" s="120" t="s">
        <v>157</v>
      </c>
      <c r="Y73" s="212" t="s">
        <v>165</v>
      </c>
      <c r="Z73" s="78"/>
    </row>
    <row r="74" spans="1:26" ht="119" customHeight="1">
      <c r="A74" s="78"/>
      <c r="B74" s="194">
        <v>73</v>
      </c>
      <c r="C74" s="279"/>
      <c r="D74" s="120" t="s">
        <v>497</v>
      </c>
      <c r="E74" s="120" t="s">
        <v>498</v>
      </c>
      <c r="F74" s="120" t="s">
        <v>318</v>
      </c>
      <c r="G74" s="120" t="s">
        <v>263</v>
      </c>
      <c r="H74" s="120" t="s">
        <v>319</v>
      </c>
      <c r="I74" s="120" t="s">
        <v>416</v>
      </c>
      <c r="J74" s="120" t="s">
        <v>499</v>
      </c>
      <c r="K74" s="120" t="s">
        <v>500</v>
      </c>
      <c r="L74" s="120" t="s">
        <v>501</v>
      </c>
      <c r="M74" s="195">
        <v>5</v>
      </c>
      <c r="N74" s="119" t="s">
        <v>502</v>
      </c>
      <c r="O74" s="119" t="s">
        <v>503</v>
      </c>
      <c r="P74" s="203" t="s">
        <v>1087</v>
      </c>
      <c r="Q74" s="204" t="s">
        <v>1088</v>
      </c>
      <c r="R74" s="205" t="s">
        <v>1089</v>
      </c>
      <c r="S74" s="206" t="s">
        <v>1090</v>
      </c>
      <c r="T74" s="207" t="s">
        <v>1091</v>
      </c>
      <c r="U74" s="120" t="s">
        <v>156</v>
      </c>
      <c r="V74" s="120" t="s">
        <v>154</v>
      </c>
      <c r="W74" s="120" t="s">
        <v>155</v>
      </c>
      <c r="X74" s="120" t="s">
        <v>157</v>
      </c>
      <c r="Y74" s="212" t="s">
        <v>165</v>
      </c>
      <c r="Z74" s="78"/>
    </row>
    <row r="75" spans="1:26" ht="119" customHeight="1">
      <c r="A75" s="78"/>
      <c r="B75" s="194">
        <v>74</v>
      </c>
      <c r="C75" s="279"/>
      <c r="D75" s="120" t="s">
        <v>497</v>
      </c>
      <c r="E75" s="120" t="s">
        <v>498</v>
      </c>
      <c r="F75" s="120" t="s">
        <v>318</v>
      </c>
      <c r="G75" s="120" t="s">
        <v>263</v>
      </c>
      <c r="H75" s="120" t="s">
        <v>319</v>
      </c>
      <c r="I75" s="120" t="s">
        <v>416</v>
      </c>
      <c r="J75" s="120" t="s">
        <v>499</v>
      </c>
      <c r="K75" s="120" t="s">
        <v>500</v>
      </c>
      <c r="L75" s="120" t="s">
        <v>504</v>
      </c>
      <c r="M75" s="195">
        <v>6</v>
      </c>
      <c r="N75" s="119" t="s">
        <v>505</v>
      </c>
      <c r="O75" s="119" t="s">
        <v>506</v>
      </c>
      <c r="P75" s="203" t="s">
        <v>1092</v>
      </c>
      <c r="Q75" s="204" t="s">
        <v>1093</v>
      </c>
      <c r="R75" s="205" t="s">
        <v>1094</v>
      </c>
      <c r="S75" s="206" t="s">
        <v>1095</v>
      </c>
      <c r="T75" s="207" t="s">
        <v>1096</v>
      </c>
      <c r="U75" s="120" t="s">
        <v>164</v>
      </c>
      <c r="V75" s="120" t="s">
        <v>162</v>
      </c>
      <c r="W75" s="120" t="s">
        <v>163</v>
      </c>
      <c r="X75" s="120" t="s">
        <v>157</v>
      </c>
      <c r="Y75" s="212" t="s">
        <v>165</v>
      </c>
      <c r="Z75" s="78"/>
    </row>
    <row r="76" spans="1:26" ht="119" customHeight="1">
      <c r="A76" s="78"/>
      <c r="B76" s="194">
        <v>75</v>
      </c>
      <c r="C76" s="279" t="s">
        <v>722</v>
      </c>
      <c r="D76" s="120" t="s">
        <v>507</v>
      </c>
      <c r="E76" s="120" t="s">
        <v>508</v>
      </c>
      <c r="F76" s="120" t="s">
        <v>145</v>
      </c>
      <c r="G76" s="120" t="s">
        <v>146</v>
      </c>
      <c r="H76" s="120" t="s">
        <v>147</v>
      </c>
      <c r="I76" s="120" t="s">
        <v>190</v>
      </c>
      <c r="J76" s="120" t="s">
        <v>509</v>
      </c>
      <c r="K76" s="120" t="s">
        <v>510</v>
      </c>
      <c r="L76" s="120" t="s">
        <v>511</v>
      </c>
      <c r="M76" s="195">
        <v>1</v>
      </c>
      <c r="N76" s="119" t="s">
        <v>512</v>
      </c>
      <c r="O76" s="119" t="s">
        <v>513</v>
      </c>
      <c r="P76" s="203" t="s">
        <v>1097</v>
      </c>
      <c r="Q76" s="204" t="s">
        <v>1098</v>
      </c>
      <c r="R76" s="205" t="s">
        <v>1099</v>
      </c>
      <c r="S76" s="206" t="s">
        <v>1100</v>
      </c>
      <c r="T76" s="207" t="s">
        <v>1101</v>
      </c>
      <c r="U76" s="120" t="s">
        <v>156</v>
      </c>
      <c r="V76" s="120" t="s">
        <v>154</v>
      </c>
      <c r="W76" s="120" t="s">
        <v>155</v>
      </c>
      <c r="X76" s="120" t="s">
        <v>199</v>
      </c>
      <c r="Y76" s="212" t="s">
        <v>269</v>
      </c>
      <c r="Z76" s="78"/>
    </row>
    <row r="77" spans="1:26" ht="119" customHeight="1">
      <c r="A77" s="78"/>
      <c r="B77" s="194">
        <v>76</v>
      </c>
      <c r="C77" s="279"/>
      <c r="D77" s="120" t="s">
        <v>507</v>
      </c>
      <c r="E77" s="120" t="s">
        <v>508</v>
      </c>
      <c r="F77" s="120" t="s">
        <v>145</v>
      </c>
      <c r="G77" s="120" t="s">
        <v>146</v>
      </c>
      <c r="H77" s="120" t="s">
        <v>147</v>
      </c>
      <c r="I77" s="120" t="s">
        <v>190</v>
      </c>
      <c r="J77" s="120" t="s">
        <v>509</v>
      </c>
      <c r="K77" s="120" t="s">
        <v>510</v>
      </c>
      <c r="L77" s="120" t="s">
        <v>514</v>
      </c>
      <c r="M77" s="195">
        <v>2</v>
      </c>
      <c r="N77" s="119" t="s">
        <v>515</v>
      </c>
      <c r="O77" s="119" t="s">
        <v>516</v>
      </c>
      <c r="P77" s="203" t="s">
        <v>1102</v>
      </c>
      <c r="Q77" s="204" t="s">
        <v>1103</v>
      </c>
      <c r="R77" s="205" t="s">
        <v>1104</v>
      </c>
      <c r="S77" s="206" t="s">
        <v>1105</v>
      </c>
      <c r="T77" s="207" t="s">
        <v>1106</v>
      </c>
      <c r="U77" s="120" t="s">
        <v>164</v>
      </c>
      <c r="V77" s="120" t="s">
        <v>162</v>
      </c>
      <c r="W77" s="120" t="s">
        <v>163</v>
      </c>
      <c r="X77" s="120" t="s">
        <v>199</v>
      </c>
      <c r="Y77" s="212" t="s">
        <v>269</v>
      </c>
      <c r="Z77" s="78"/>
    </row>
    <row r="78" spans="1:26" ht="119" customHeight="1">
      <c r="A78" s="78"/>
      <c r="B78" s="194">
        <v>77</v>
      </c>
      <c r="C78" s="279"/>
      <c r="D78" s="120" t="s">
        <v>517</v>
      </c>
      <c r="E78" s="120" t="s">
        <v>518</v>
      </c>
      <c r="F78" s="120" t="s">
        <v>145</v>
      </c>
      <c r="G78" s="120" t="s">
        <v>146</v>
      </c>
      <c r="H78" s="120" t="s">
        <v>147</v>
      </c>
      <c r="I78" s="120" t="s">
        <v>190</v>
      </c>
      <c r="J78" s="120" t="s">
        <v>519</v>
      </c>
      <c r="K78" s="120" t="s">
        <v>520</v>
      </c>
      <c r="L78" s="120" t="s">
        <v>521</v>
      </c>
      <c r="M78" s="195">
        <v>3</v>
      </c>
      <c r="N78" s="119" t="s">
        <v>522</v>
      </c>
      <c r="O78" s="119" t="s">
        <v>523</v>
      </c>
      <c r="P78" s="203" t="s">
        <v>1107</v>
      </c>
      <c r="Q78" s="204" t="s">
        <v>1108</v>
      </c>
      <c r="R78" s="205" t="s">
        <v>1109</v>
      </c>
      <c r="S78" s="206" t="s">
        <v>1110</v>
      </c>
      <c r="T78" s="207" t="s">
        <v>1111</v>
      </c>
      <c r="U78" s="120" t="s">
        <v>204</v>
      </c>
      <c r="V78" s="120" t="s">
        <v>169</v>
      </c>
      <c r="W78" s="120" t="s">
        <v>234</v>
      </c>
      <c r="X78" s="120" t="s">
        <v>199</v>
      </c>
      <c r="Y78" s="212" t="s">
        <v>269</v>
      </c>
      <c r="Z78" s="78"/>
    </row>
    <row r="79" spans="1:26" ht="119" customHeight="1">
      <c r="A79" s="78"/>
      <c r="B79" s="194">
        <v>78</v>
      </c>
      <c r="C79" s="279"/>
      <c r="D79" s="120" t="s">
        <v>517</v>
      </c>
      <c r="E79" s="120" t="s">
        <v>518</v>
      </c>
      <c r="F79" s="120" t="s">
        <v>145</v>
      </c>
      <c r="G79" s="120" t="s">
        <v>146</v>
      </c>
      <c r="H79" s="120" t="s">
        <v>147</v>
      </c>
      <c r="I79" s="120" t="s">
        <v>190</v>
      </c>
      <c r="J79" s="120" t="s">
        <v>519</v>
      </c>
      <c r="K79" s="120" t="s">
        <v>520</v>
      </c>
      <c r="L79" s="120" t="s">
        <v>524</v>
      </c>
      <c r="M79" s="195">
        <v>4</v>
      </c>
      <c r="N79" s="119" t="s">
        <v>525</v>
      </c>
      <c r="O79" s="119" t="s">
        <v>526</v>
      </c>
      <c r="P79" s="203" t="s">
        <v>1112</v>
      </c>
      <c r="Q79" s="204" t="s">
        <v>1113</v>
      </c>
      <c r="R79" s="205" t="s">
        <v>1114</v>
      </c>
      <c r="S79" s="206" t="s">
        <v>1115</v>
      </c>
      <c r="T79" s="207" t="s">
        <v>1116</v>
      </c>
      <c r="U79" s="120" t="s">
        <v>204</v>
      </c>
      <c r="V79" s="120" t="s">
        <v>169</v>
      </c>
      <c r="W79" s="120" t="s">
        <v>234</v>
      </c>
      <c r="X79" s="120" t="s">
        <v>199</v>
      </c>
      <c r="Y79" s="212" t="s">
        <v>269</v>
      </c>
      <c r="Z79" s="78"/>
    </row>
    <row r="80" spans="1:26" ht="119" customHeight="1">
      <c r="A80" s="78"/>
      <c r="B80" s="194">
        <v>79</v>
      </c>
      <c r="C80" s="279"/>
      <c r="D80" s="120" t="s">
        <v>517</v>
      </c>
      <c r="E80" s="120" t="s">
        <v>518</v>
      </c>
      <c r="F80" s="120" t="s">
        <v>145</v>
      </c>
      <c r="G80" s="120" t="s">
        <v>146</v>
      </c>
      <c r="H80" s="120" t="s">
        <v>147</v>
      </c>
      <c r="I80" s="120" t="s">
        <v>190</v>
      </c>
      <c r="J80" s="120" t="s">
        <v>519</v>
      </c>
      <c r="K80" s="120" t="s">
        <v>520</v>
      </c>
      <c r="L80" s="120" t="s">
        <v>527</v>
      </c>
      <c r="M80" s="195">
        <v>5</v>
      </c>
      <c r="N80" s="119" t="s">
        <v>528</v>
      </c>
      <c r="O80" s="119" t="s">
        <v>529</v>
      </c>
      <c r="P80" s="203" t="s">
        <v>1117</v>
      </c>
      <c r="Q80" s="204" t="s">
        <v>1118</v>
      </c>
      <c r="R80" s="205" t="s">
        <v>1119</v>
      </c>
      <c r="S80" s="206" t="s">
        <v>1120</v>
      </c>
      <c r="T80" s="207" t="s">
        <v>1121</v>
      </c>
      <c r="U80" s="120" t="s">
        <v>210</v>
      </c>
      <c r="V80" s="120" t="s">
        <v>208</v>
      </c>
      <c r="W80" s="120" t="s">
        <v>209</v>
      </c>
      <c r="X80" s="120" t="s">
        <v>199</v>
      </c>
      <c r="Y80" s="212" t="s">
        <v>269</v>
      </c>
      <c r="Z80" s="78"/>
    </row>
    <row r="81" spans="1:26" ht="119" customHeight="1">
      <c r="A81" s="78"/>
      <c r="B81" s="194">
        <v>80</v>
      </c>
      <c r="C81" s="279"/>
      <c r="D81" s="120" t="s">
        <v>530</v>
      </c>
      <c r="E81" s="120" t="s">
        <v>531</v>
      </c>
      <c r="F81" s="120" t="s">
        <v>145</v>
      </c>
      <c r="G81" s="120" t="s">
        <v>532</v>
      </c>
      <c r="H81" s="120" t="s">
        <v>147</v>
      </c>
      <c r="I81" s="120" t="s">
        <v>190</v>
      </c>
      <c r="J81" s="120" t="s">
        <v>533</v>
      </c>
      <c r="K81" s="120" t="s">
        <v>534</v>
      </c>
      <c r="L81" s="120" t="s">
        <v>535</v>
      </c>
      <c r="M81" s="195">
        <v>6</v>
      </c>
      <c r="N81" s="119" t="s">
        <v>536</v>
      </c>
      <c r="O81" s="119" t="s">
        <v>537</v>
      </c>
      <c r="P81" s="203" t="s">
        <v>1122</v>
      </c>
      <c r="Q81" s="204" t="s">
        <v>1123</v>
      </c>
      <c r="R81" s="205" t="s">
        <v>1124</v>
      </c>
      <c r="S81" s="206" t="s">
        <v>1125</v>
      </c>
      <c r="T81" s="207" t="s">
        <v>1126</v>
      </c>
      <c r="U81" s="120" t="s">
        <v>171</v>
      </c>
      <c r="V81" s="120" t="s">
        <v>169</v>
      </c>
      <c r="W81" s="120" t="s">
        <v>170</v>
      </c>
      <c r="X81" s="120" t="s">
        <v>199</v>
      </c>
      <c r="Y81" s="212" t="s">
        <v>269</v>
      </c>
      <c r="Z81" s="78"/>
    </row>
    <row r="82" spans="1:26" ht="119" customHeight="1">
      <c r="A82" s="78"/>
      <c r="B82" s="194">
        <v>81</v>
      </c>
      <c r="C82" s="279"/>
      <c r="D82" s="120" t="s">
        <v>530</v>
      </c>
      <c r="E82" s="120" t="s">
        <v>531</v>
      </c>
      <c r="F82" s="120" t="s">
        <v>145</v>
      </c>
      <c r="G82" s="120" t="s">
        <v>532</v>
      </c>
      <c r="H82" s="120" t="s">
        <v>147</v>
      </c>
      <c r="I82" s="120" t="s">
        <v>190</v>
      </c>
      <c r="J82" s="120" t="s">
        <v>533</v>
      </c>
      <c r="K82" s="120" t="s">
        <v>534</v>
      </c>
      <c r="L82" s="120" t="s">
        <v>538</v>
      </c>
      <c r="M82" s="195">
        <v>7</v>
      </c>
      <c r="N82" s="119" t="s">
        <v>539</v>
      </c>
      <c r="O82" s="119" t="s">
        <v>540</v>
      </c>
      <c r="P82" s="203" t="s">
        <v>1127</v>
      </c>
      <c r="Q82" s="204" t="s">
        <v>1128</v>
      </c>
      <c r="R82" s="205" t="s">
        <v>1129</v>
      </c>
      <c r="S82" s="206" t="s">
        <v>1130</v>
      </c>
      <c r="T82" s="207" t="s">
        <v>1131</v>
      </c>
      <c r="U82" s="120" t="s">
        <v>210</v>
      </c>
      <c r="V82" s="120" t="s">
        <v>208</v>
      </c>
      <c r="W82" s="120" t="s">
        <v>209</v>
      </c>
      <c r="X82" s="120" t="s">
        <v>199</v>
      </c>
      <c r="Y82" s="212" t="s">
        <v>269</v>
      </c>
      <c r="Z82" s="78"/>
    </row>
    <row r="83" spans="1:26" ht="119" customHeight="1">
      <c r="A83" s="78"/>
      <c r="B83" s="194">
        <v>82</v>
      </c>
      <c r="C83" s="279"/>
      <c r="D83" s="120" t="s">
        <v>530</v>
      </c>
      <c r="E83" s="120" t="s">
        <v>531</v>
      </c>
      <c r="F83" s="120" t="s">
        <v>145</v>
      </c>
      <c r="G83" s="120" t="s">
        <v>532</v>
      </c>
      <c r="H83" s="120" t="s">
        <v>147</v>
      </c>
      <c r="I83" s="120" t="s">
        <v>190</v>
      </c>
      <c r="J83" s="120" t="s">
        <v>533</v>
      </c>
      <c r="K83" s="120" t="s">
        <v>534</v>
      </c>
      <c r="L83" s="120" t="s">
        <v>541</v>
      </c>
      <c r="M83" s="195">
        <v>8</v>
      </c>
      <c r="N83" s="119" t="s">
        <v>542</v>
      </c>
      <c r="O83" s="119" t="s">
        <v>543</v>
      </c>
      <c r="P83" s="203" t="s">
        <v>1132</v>
      </c>
      <c r="Q83" s="204" t="s">
        <v>1133</v>
      </c>
      <c r="R83" s="205" t="s">
        <v>1134</v>
      </c>
      <c r="S83" s="206" t="s">
        <v>1135</v>
      </c>
      <c r="T83" s="207" t="s">
        <v>1136</v>
      </c>
      <c r="U83" s="120" t="s">
        <v>291</v>
      </c>
      <c r="V83" s="120" t="s">
        <v>169</v>
      </c>
      <c r="W83" s="120" t="s">
        <v>170</v>
      </c>
      <c r="X83" s="120" t="s">
        <v>199</v>
      </c>
      <c r="Y83" s="212" t="s">
        <v>269</v>
      </c>
      <c r="Z83" s="78"/>
    </row>
    <row r="84" spans="1:26" ht="119" customHeight="1">
      <c r="A84" s="78"/>
      <c r="B84" s="194">
        <v>83</v>
      </c>
      <c r="C84" s="279" t="s">
        <v>723</v>
      </c>
      <c r="D84" s="120" t="s">
        <v>544</v>
      </c>
      <c r="E84" s="120" t="s">
        <v>545</v>
      </c>
      <c r="F84" s="120" t="s">
        <v>318</v>
      </c>
      <c r="G84" s="120" t="s">
        <v>216</v>
      </c>
      <c r="H84" s="120" t="s">
        <v>319</v>
      </c>
      <c r="I84" s="120" t="s">
        <v>190</v>
      </c>
      <c r="J84" s="120" t="s">
        <v>546</v>
      </c>
      <c r="K84" s="120" t="s">
        <v>547</v>
      </c>
      <c r="L84" s="120" t="s">
        <v>548</v>
      </c>
      <c r="M84" s="195">
        <v>1</v>
      </c>
      <c r="N84" s="119" t="s">
        <v>549</v>
      </c>
      <c r="O84" s="119" t="s">
        <v>550</v>
      </c>
      <c r="P84" s="203" t="s">
        <v>1137</v>
      </c>
      <c r="Q84" s="204" t="s">
        <v>1138</v>
      </c>
      <c r="R84" s="205" t="s">
        <v>1139</v>
      </c>
      <c r="S84" s="206" t="s">
        <v>1140</v>
      </c>
      <c r="T84" s="207" t="s">
        <v>1141</v>
      </c>
      <c r="U84" s="120" t="s">
        <v>164</v>
      </c>
      <c r="V84" s="120" t="s">
        <v>250</v>
      </c>
      <c r="W84" s="120" t="s">
        <v>209</v>
      </c>
      <c r="X84" s="120" t="s">
        <v>199</v>
      </c>
      <c r="Y84" s="212" t="s">
        <v>165</v>
      </c>
      <c r="Z84" s="78"/>
    </row>
    <row r="85" spans="1:26" ht="119" customHeight="1">
      <c r="A85" s="78"/>
      <c r="B85" s="194">
        <v>84</v>
      </c>
      <c r="C85" s="279"/>
      <c r="D85" s="120" t="s">
        <v>544</v>
      </c>
      <c r="E85" s="120" t="s">
        <v>545</v>
      </c>
      <c r="F85" s="120" t="s">
        <v>318</v>
      </c>
      <c r="G85" s="120" t="s">
        <v>216</v>
      </c>
      <c r="H85" s="120" t="s">
        <v>319</v>
      </c>
      <c r="I85" s="120" t="s">
        <v>190</v>
      </c>
      <c r="J85" s="120" t="s">
        <v>546</v>
      </c>
      <c r="K85" s="120" t="s">
        <v>547</v>
      </c>
      <c r="L85" s="120" t="s">
        <v>551</v>
      </c>
      <c r="M85" s="195">
        <v>2</v>
      </c>
      <c r="N85" s="119" t="s">
        <v>552</v>
      </c>
      <c r="O85" s="119" t="s">
        <v>553</v>
      </c>
      <c r="P85" s="203" t="s">
        <v>1142</v>
      </c>
      <c r="Q85" s="204" t="s">
        <v>1143</v>
      </c>
      <c r="R85" s="205" t="s">
        <v>1144</v>
      </c>
      <c r="S85" s="206" t="s">
        <v>1145</v>
      </c>
      <c r="T85" s="207" t="s">
        <v>1146</v>
      </c>
      <c r="U85" s="120" t="s">
        <v>204</v>
      </c>
      <c r="V85" s="120" t="s">
        <v>410</v>
      </c>
      <c r="W85" s="120" t="s">
        <v>339</v>
      </c>
      <c r="X85" s="120" t="s">
        <v>199</v>
      </c>
      <c r="Y85" s="212" t="s">
        <v>165</v>
      </c>
      <c r="Z85" s="78"/>
    </row>
    <row r="86" spans="1:26" ht="119" customHeight="1">
      <c r="A86" s="78"/>
      <c r="B86" s="194">
        <v>85</v>
      </c>
      <c r="C86" s="279"/>
      <c r="D86" s="120" t="s">
        <v>544</v>
      </c>
      <c r="E86" s="120" t="s">
        <v>545</v>
      </c>
      <c r="F86" s="120" t="s">
        <v>318</v>
      </c>
      <c r="G86" s="120" t="s">
        <v>216</v>
      </c>
      <c r="H86" s="120" t="s">
        <v>319</v>
      </c>
      <c r="I86" s="120" t="s">
        <v>190</v>
      </c>
      <c r="J86" s="120" t="s">
        <v>546</v>
      </c>
      <c r="K86" s="120" t="s">
        <v>547</v>
      </c>
      <c r="L86" s="120" t="s">
        <v>554</v>
      </c>
      <c r="M86" s="195">
        <v>3</v>
      </c>
      <c r="N86" s="119" t="s">
        <v>555</v>
      </c>
      <c r="O86" s="119" t="s">
        <v>556</v>
      </c>
      <c r="P86" s="203" t="s">
        <v>1147</v>
      </c>
      <c r="Q86" s="204" t="s">
        <v>1148</v>
      </c>
      <c r="R86" s="205" t="s">
        <v>1149</v>
      </c>
      <c r="S86" s="206" t="s">
        <v>1150</v>
      </c>
      <c r="T86" s="207" t="s">
        <v>1151</v>
      </c>
      <c r="U86" s="120" t="s">
        <v>291</v>
      </c>
      <c r="V86" s="120" t="s">
        <v>250</v>
      </c>
      <c r="W86" s="120" t="s">
        <v>209</v>
      </c>
      <c r="X86" s="120" t="s">
        <v>199</v>
      </c>
      <c r="Y86" s="212" t="s">
        <v>165</v>
      </c>
      <c r="Z86" s="78"/>
    </row>
    <row r="87" spans="1:26" ht="119" customHeight="1">
      <c r="A87" s="78"/>
      <c r="B87" s="194">
        <v>86</v>
      </c>
      <c r="C87" s="279"/>
      <c r="D87" s="120" t="s">
        <v>557</v>
      </c>
      <c r="E87" s="120" t="s">
        <v>558</v>
      </c>
      <c r="F87" s="120" t="s">
        <v>145</v>
      </c>
      <c r="G87" s="120" t="s">
        <v>174</v>
      </c>
      <c r="H87" s="120" t="s">
        <v>147</v>
      </c>
      <c r="I87" s="120" t="s">
        <v>148</v>
      </c>
      <c r="J87" s="120" t="s">
        <v>559</v>
      </c>
      <c r="K87" s="120" t="s">
        <v>560</v>
      </c>
      <c r="L87" s="120" t="s">
        <v>561</v>
      </c>
      <c r="M87" s="195">
        <v>4</v>
      </c>
      <c r="N87" s="119" t="s">
        <v>562</v>
      </c>
      <c r="O87" s="119" t="s">
        <v>563</v>
      </c>
      <c r="P87" s="203" t="s">
        <v>1152</v>
      </c>
      <c r="Q87" s="204" t="s">
        <v>1153</v>
      </c>
      <c r="R87" s="205" t="s">
        <v>1154</v>
      </c>
      <c r="S87" s="206" t="s">
        <v>1155</v>
      </c>
      <c r="T87" s="207" t="s">
        <v>1156</v>
      </c>
      <c r="U87" s="120" t="s">
        <v>156</v>
      </c>
      <c r="V87" s="120" t="s">
        <v>250</v>
      </c>
      <c r="W87" s="120" t="s">
        <v>564</v>
      </c>
      <c r="X87" s="120" t="s">
        <v>157</v>
      </c>
      <c r="Y87" s="212" t="s">
        <v>165</v>
      </c>
      <c r="Z87" s="78"/>
    </row>
    <row r="88" spans="1:26" ht="119" customHeight="1">
      <c r="A88" s="78"/>
      <c r="B88" s="194">
        <v>87</v>
      </c>
      <c r="C88" s="279"/>
      <c r="D88" s="120" t="s">
        <v>557</v>
      </c>
      <c r="E88" s="120" t="s">
        <v>558</v>
      </c>
      <c r="F88" s="120" t="s">
        <v>145</v>
      </c>
      <c r="G88" s="120" t="s">
        <v>174</v>
      </c>
      <c r="H88" s="120" t="s">
        <v>147</v>
      </c>
      <c r="I88" s="120" t="s">
        <v>148</v>
      </c>
      <c r="J88" s="120" t="s">
        <v>559</v>
      </c>
      <c r="K88" s="120" t="s">
        <v>560</v>
      </c>
      <c r="L88" s="120" t="s">
        <v>565</v>
      </c>
      <c r="M88" s="195">
        <v>5</v>
      </c>
      <c r="N88" s="119" t="s">
        <v>566</v>
      </c>
      <c r="O88" s="119" t="s">
        <v>567</v>
      </c>
      <c r="P88" s="203" t="s">
        <v>1157</v>
      </c>
      <c r="Q88" s="204" t="s">
        <v>1158</v>
      </c>
      <c r="R88" s="205" t="s">
        <v>1159</v>
      </c>
      <c r="S88" s="206" t="s">
        <v>1160</v>
      </c>
      <c r="T88" s="207" t="s">
        <v>1161</v>
      </c>
      <c r="U88" s="120" t="s">
        <v>210</v>
      </c>
      <c r="V88" s="120" t="s">
        <v>208</v>
      </c>
      <c r="W88" s="120" t="s">
        <v>209</v>
      </c>
      <c r="X88" s="120" t="s">
        <v>157</v>
      </c>
      <c r="Y88" s="212" t="s">
        <v>165</v>
      </c>
      <c r="Z88" s="78"/>
    </row>
    <row r="89" spans="1:26" ht="119" customHeight="1">
      <c r="A89" s="78"/>
      <c r="B89" s="194">
        <v>88</v>
      </c>
      <c r="C89" s="279"/>
      <c r="D89" s="120" t="s">
        <v>568</v>
      </c>
      <c r="E89" s="120" t="s">
        <v>569</v>
      </c>
      <c r="F89" s="120" t="s">
        <v>318</v>
      </c>
      <c r="G89" s="120" t="s">
        <v>216</v>
      </c>
      <c r="H89" s="120" t="s">
        <v>319</v>
      </c>
      <c r="I89" s="120" t="s">
        <v>148</v>
      </c>
      <c r="J89" s="120" t="s">
        <v>570</v>
      </c>
      <c r="K89" s="120" t="s">
        <v>571</v>
      </c>
      <c r="L89" s="120" t="s">
        <v>572</v>
      </c>
      <c r="M89" s="195">
        <v>6</v>
      </c>
      <c r="N89" s="119" t="s">
        <v>573</v>
      </c>
      <c r="O89" s="119" t="s">
        <v>574</v>
      </c>
      <c r="P89" s="203" t="s">
        <v>1162</v>
      </c>
      <c r="Q89" s="204" t="s">
        <v>1163</v>
      </c>
      <c r="R89" s="205" t="s">
        <v>1164</v>
      </c>
      <c r="S89" s="206" t="s">
        <v>1165</v>
      </c>
      <c r="T89" s="207" t="s">
        <v>1166</v>
      </c>
      <c r="U89" s="120" t="s">
        <v>204</v>
      </c>
      <c r="V89" s="120" t="s">
        <v>208</v>
      </c>
      <c r="W89" s="120" t="s">
        <v>209</v>
      </c>
      <c r="X89" s="120" t="s">
        <v>157</v>
      </c>
      <c r="Y89" s="212" t="s">
        <v>165</v>
      </c>
      <c r="Z89" s="78"/>
    </row>
    <row r="90" spans="1:26" ht="119" customHeight="1">
      <c r="A90" s="78"/>
      <c r="B90" s="194">
        <v>89</v>
      </c>
      <c r="C90" s="279"/>
      <c r="D90" s="120" t="s">
        <v>568</v>
      </c>
      <c r="E90" s="120" t="s">
        <v>569</v>
      </c>
      <c r="F90" s="120" t="s">
        <v>318</v>
      </c>
      <c r="G90" s="120" t="s">
        <v>216</v>
      </c>
      <c r="H90" s="120" t="s">
        <v>319</v>
      </c>
      <c r="I90" s="120" t="s">
        <v>148</v>
      </c>
      <c r="J90" s="120" t="s">
        <v>570</v>
      </c>
      <c r="K90" s="120" t="s">
        <v>571</v>
      </c>
      <c r="L90" s="120" t="s">
        <v>575</v>
      </c>
      <c r="M90" s="195">
        <v>7</v>
      </c>
      <c r="N90" s="119" t="s">
        <v>576</v>
      </c>
      <c r="O90" s="119" t="s">
        <v>577</v>
      </c>
      <c r="P90" s="203" t="s">
        <v>1167</v>
      </c>
      <c r="Q90" s="204" t="s">
        <v>1168</v>
      </c>
      <c r="R90" s="205" t="s">
        <v>1169</v>
      </c>
      <c r="S90" s="206" t="s">
        <v>1170</v>
      </c>
      <c r="T90" s="207" t="s">
        <v>1171</v>
      </c>
      <c r="U90" s="120" t="s">
        <v>171</v>
      </c>
      <c r="V90" s="120" t="s">
        <v>162</v>
      </c>
      <c r="W90" s="120" t="s">
        <v>578</v>
      </c>
      <c r="X90" s="120" t="s">
        <v>157</v>
      </c>
      <c r="Y90" s="212" t="s">
        <v>165</v>
      </c>
      <c r="Z90" s="78"/>
    </row>
    <row r="91" spans="1:26" ht="119" customHeight="1">
      <c r="A91" s="78"/>
      <c r="B91" s="194">
        <v>90</v>
      </c>
      <c r="C91" s="279" t="s">
        <v>724</v>
      </c>
      <c r="D91" s="120" t="s">
        <v>579</v>
      </c>
      <c r="E91" s="120" t="s">
        <v>580</v>
      </c>
      <c r="F91" s="120" t="s">
        <v>145</v>
      </c>
      <c r="G91" s="120" t="s">
        <v>263</v>
      </c>
      <c r="H91" s="120" t="s">
        <v>147</v>
      </c>
      <c r="I91" s="120" t="s">
        <v>416</v>
      </c>
      <c r="J91" s="120" t="s">
        <v>581</v>
      </c>
      <c r="K91" s="120" t="s">
        <v>582</v>
      </c>
      <c r="L91" s="120" t="s">
        <v>583</v>
      </c>
      <c r="M91" s="195">
        <v>1</v>
      </c>
      <c r="N91" s="119" t="s">
        <v>584</v>
      </c>
      <c r="O91" s="119" t="s">
        <v>585</v>
      </c>
      <c r="P91" s="203" t="s">
        <v>1172</v>
      </c>
      <c r="Q91" s="204" t="s">
        <v>1173</v>
      </c>
      <c r="R91" s="205" t="s">
        <v>1174</v>
      </c>
      <c r="S91" s="206" t="s">
        <v>1175</v>
      </c>
      <c r="T91" s="207" t="s">
        <v>1176</v>
      </c>
      <c r="U91" s="120" t="s">
        <v>156</v>
      </c>
      <c r="V91" s="120" t="s">
        <v>154</v>
      </c>
      <c r="W91" s="120" t="s">
        <v>155</v>
      </c>
      <c r="X91" s="120" t="s">
        <v>157</v>
      </c>
      <c r="Y91" s="212" t="s">
        <v>165</v>
      </c>
      <c r="Z91" s="78"/>
    </row>
    <row r="92" spans="1:26" ht="119" customHeight="1">
      <c r="A92" s="78"/>
      <c r="B92" s="194">
        <v>91</v>
      </c>
      <c r="C92" s="279"/>
      <c r="D92" s="120" t="s">
        <v>579</v>
      </c>
      <c r="E92" s="120" t="s">
        <v>580</v>
      </c>
      <c r="F92" s="120" t="s">
        <v>145</v>
      </c>
      <c r="G92" s="120" t="s">
        <v>263</v>
      </c>
      <c r="H92" s="120" t="s">
        <v>147</v>
      </c>
      <c r="I92" s="120" t="s">
        <v>416</v>
      </c>
      <c r="J92" s="120" t="s">
        <v>581</v>
      </c>
      <c r="K92" s="120" t="s">
        <v>582</v>
      </c>
      <c r="L92" s="120" t="s">
        <v>586</v>
      </c>
      <c r="M92" s="195">
        <v>2</v>
      </c>
      <c r="N92" s="119" t="s">
        <v>587</v>
      </c>
      <c r="O92" s="119" t="s">
        <v>588</v>
      </c>
      <c r="P92" s="203" t="s">
        <v>1177</v>
      </c>
      <c r="Q92" s="204" t="s">
        <v>1178</v>
      </c>
      <c r="R92" s="205" t="s">
        <v>1179</v>
      </c>
      <c r="S92" s="206" t="s">
        <v>1180</v>
      </c>
      <c r="T92" s="207" t="s">
        <v>1181</v>
      </c>
      <c r="U92" s="120" t="s">
        <v>164</v>
      </c>
      <c r="V92" s="120" t="s">
        <v>184</v>
      </c>
      <c r="W92" s="120" t="s">
        <v>184</v>
      </c>
      <c r="X92" s="120" t="s">
        <v>157</v>
      </c>
      <c r="Y92" s="212" t="s">
        <v>165</v>
      </c>
      <c r="Z92" s="78"/>
    </row>
    <row r="93" spans="1:26" ht="119" customHeight="1">
      <c r="A93" s="78"/>
      <c r="B93" s="194">
        <v>92</v>
      </c>
      <c r="C93" s="279"/>
      <c r="D93" s="120" t="s">
        <v>589</v>
      </c>
      <c r="E93" s="120" t="s">
        <v>590</v>
      </c>
      <c r="F93" s="120" t="s">
        <v>145</v>
      </c>
      <c r="G93" s="120" t="s">
        <v>146</v>
      </c>
      <c r="H93" s="120" t="s">
        <v>147</v>
      </c>
      <c r="I93" s="120" t="s">
        <v>148</v>
      </c>
      <c r="J93" s="120" t="s">
        <v>591</v>
      </c>
      <c r="K93" s="120" t="s">
        <v>592</v>
      </c>
      <c r="L93" s="120" t="s">
        <v>593</v>
      </c>
      <c r="M93" s="195">
        <v>3</v>
      </c>
      <c r="N93" s="119" t="s">
        <v>594</v>
      </c>
      <c r="O93" s="119" t="s">
        <v>595</v>
      </c>
      <c r="P93" s="203" t="s">
        <v>1182</v>
      </c>
      <c r="Q93" s="204" t="s">
        <v>1183</v>
      </c>
      <c r="R93" s="205" t="s">
        <v>1184</v>
      </c>
      <c r="S93" s="206" t="s">
        <v>1185</v>
      </c>
      <c r="T93" s="207" t="s">
        <v>1186</v>
      </c>
      <c r="U93" s="120" t="s">
        <v>164</v>
      </c>
      <c r="V93" s="120" t="s">
        <v>169</v>
      </c>
      <c r="W93" s="120" t="s">
        <v>234</v>
      </c>
      <c r="X93" s="120" t="s">
        <v>157</v>
      </c>
      <c r="Y93" s="212" t="s">
        <v>158</v>
      </c>
      <c r="Z93" s="78"/>
    </row>
    <row r="94" spans="1:26" ht="119" customHeight="1">
      <c r="A94" s="78"/>
      <c r="B94" s="194">
        <v>93</v>
      </c>
      <c r="C94" s="279"/>
      <c r="D94" s="120" t="s">
        <v>589</v>
      </c>
      <c r="E94" s="120" t="s">
        <v>590</v>
      </c>
      <c r="F94" s="120" t="s">
        <v>145</v>
      </c>
      <c r="G94" s="120" t="s">
        <v>146</v>
      </c>
      <c r="H94" s="120" t="s">
        <v>147</v>
      </c>
      <c r="I94" s="120" t="s">
        <v>148</v>
      </c>
      <c r="J94" s="120" t="s">
        <v>591</v>
      </c>
      <c r="K94" s="120" t="s">
        <v>592</v>
      </c>
      <c r="L94" s="120" t="s">
        <v>596</v>
      </c>
      <c r="M94" s="195">
        <v>4</v>
      </c>
      <c r="N94" s="119" t="s">
        <v>597</v>
      </c>
      <c r="O94" s="119" t="s">
        <v>598</v>
      </c>
      <c r="P94" s="203" t="s">
        <v>1187</v>
      </c>
      <c r="Q94" s="204" t="s">
        <v>1188</v>
      </c>
      <c r="R94" s="205" t="s">
        <v>1189</v>
      </c>
      <c r="S94" s="206" t="s">
        <v>1190</v>
      </c>
      <c r="T94" s="207" t="s">
        <v>1191</v>
      </c>
      <c r="U94" s="120" t="s">
        <v>171</v>
      </c>
      <c r="V94" s="120" t="s">
        <v>410</v>
      </c>
      <c r="W94" s="120" t="s">
        <v>339</v>
      </c>
      <c r="X94" s="120" t="s">
        <v>199</v>
      </c>
      <c r="Y94" s="212" t="s">
        <v>165</v>
      </c>
      <c r="Z94" s="78"/>
    </row>
    <row r="95" spans="1:26" ht="119" customHeight="1">
      <c r="A95" s="78"/>
      <c r="B95" s="194">
        <v>94</v>
      </c>
      <c r="C95" s="279"/>
      <c r="D95" s="120" t="s">
        <v>599</v>
      </c>
      <c r="E95" s="120" t="s">
        <v>600</v>
      </c>
      <c r="F95" s="120" t="s">
        <v>278</v>
      </c>
      <c r="G95" s="120" t="s">
        <v>174</v>
      </c>
      <c r="H95" s="120" t="s">
        <v>279</v>
      </c>
      <c r="I95" s="120" t="s">
        <v>190</v>
      </c>
      <c r="J95" s="120" t="s">
        <v>601</v>
      </c>
      <c r="K95" s="120" t="s">
        <v>602</v>
      </c>
      <c r="L95" s="120" t="s">
        <v>603</v>
      </c>
      <c r="M95" s="195">
        <v>5</v>
      </c>
      <c r="N95" s="119" t="s">
        <v>604</v>
      </c>
      <c r="O95" s="119" t="s">
        <v>605</v>
      </c>
      <c r="P95" s="203" t="s">
        <v>1192</v>
      </c>
      <c r="Q95" s="204" t="s">
        <v>1193</v>
      </c>
      <c r="R95" s="205" t="s">
        <v>1194</v>
      </c>
      <c r="S95" s="206" t="s">
        <v>1195</v>
      </c>
      <c r="T95" s="207" t="s">
        <v>1196</v>
      </c>
      <c r="U95" s="120" t="s">
        <v>156</v>
      </c>
      <c r="V95" s="120" t="s">
        <v>154</v>
      </c>
      <c r="W95" s="120" t="s">
        <v>209</v>
      </c>
      <c r="X95" s="120" t="s">
        <v>157</v>
      </c>
      <c r="Y95" s="212" t="s">
        <v>165</v>
      </c>
      <c r="Z95" s="78"/>
    </row>
    <row r="96" spans="1:26" ht="119" customHeight="1">
      <c r="A96" s="78"/>
      <c r="B96" s="194">
        <v>95</v>
      </c>
      <c r="C96" s="279" t="s">
        <v>725</v>
      </c>
      <c r="D96" s="120" t="s">
        <v>606</v>
      </c>
      <c r="E96" s="120" t="s">
        <v>607</v>
      </c>
      <c r="F96" s="120" t="s">
        <v>145</v>
      </c>
      <c r="G96" s="120" t="s">
        <v>216</v>
      </c>
      <c r="H96" s="120" t="s">
        <v>147</v>
      </c>
      <c r="I96" s="120" t="s">
        <v>148</v>
      </c>
      <c r="J96" s="120" t="s">
        <v>608</v>
      </c>
      <c r="K96" s="120" t="s">
        <v>609</v>
      </c>
      <c r="L96" s="120" t="s">
        <v>610</v>
      </c>
      <c r="M96" s="195">
        <v>1</v>
      </c>
      <c r="N96" s="119" t="s">
        <v>611</v>
      </c>
      <c r="O96" s="119" t="s">
        <v>612</v>
      </c>
      <c r="P96" s="203" t="s">
        <v>1197</v>
      </c>
      <c r="Q96" s="204" t="s">
        <v>1198</v>
      </c>
      <c r="R96" s="205" t="s">
        <v>1199</v>
      </c>
      <c r="S96" s="206" t="s">
        <v>1200</v>
      </c>
      <c r="T96" s="207" t="s">
        <v>1201</v>
      </c>
      <c r="U96" s="120" t="s">
        <v>171</v>
      </c>
      <c r="V96" s="120" t="s">
        <v>184</v>
      </c>
      <c r="W96" s="120" t="s">
        <v>184</v>
      </c>
      <c r="X96" s="120" t="s">
        <v>157</v>
      </c>
      <c r="Y96" s="212" t="s">
        <v>165</v>
      </c>
      <c r="Z96" s="78"/>
    </row>
    <row r="97" spans="1:26" ht="119" customHeight="1">
      <c r="A97" s="78"/>
      <c r="B97" s="194">
        <v>96</v>
      </c>
      <c r="C97" s="279"/>
      <c r="D97" s="120" t="s">
        <v>606</v>
      </c>
      <c r="E97" s="120" t="s">
        <v>607</v>
      </c>
      <c r="F97" s="120" t="s">
        <v>145</v>
      </c>
      <c r="G97" s="120" t="s">
        <v>216</v>
      </c>
      <c r="H97" s="120" t="s">
        <v>147</v>
      </c>
      <c r="I97" s="120" t="s">
        <v>148</v>
      </c>
      <c r="J97" s="120" t="s">
        <v>608</v>
      </c>
      <c r="K97" s="120" t="s">
        <v>609</v>
      </c>
      <c r="L97" s="120" t="s">
        <v>613</v>
      </c>
      <c r="M97" s="195">
        <v>2</v>
      </c>
      <c r="N97" s="119" t="s">
        <v>614</v>
      </c>
      <c r="O97" s="119" t="s">
        <v>615</v>
      </c>
      <c r="P97" s="203" t="s">
        <v>1202</v>
      </c>
      <c r="Q97" s="204" t="s">
        <v>1203</v>
      </c>
      <c r="R97" s="205" t="s">
        <v>1204</v>
      </c>
      <c r="S97" s="206" t="s">
        <v>1205</v>
      </c>
      <c r="T97" s="207" t="s">
        <v>1206</v>
      </c>
      <c r="U97" s="120" t="s">
        <v>171</v>
      </c>
      <c r="V97" s="120" t="s">
        <v>184</v>
      </c>
      <c r="W97" s="120" t="s">
        <v>184</v>
      </c>
      <c r="X97" s="120" t="s">
        <v>396</v>
      </c>
      <c r="Y97" s="212" t="s">
        <v>165</v>
      </c>
      <c r="Z97" s="78"/>
    </row>
    <row r="98" spans="1:26" ht="119" customHeight="1">
      <c r="A98" s="78"/>
      <c r="B98" s="194">
        <v>97</v>
      </c>
      <c r="C98" s="279"/>
      <c r="D98" s="120" t="s">
        <v>616</v>
      </c>
      <c r="E98" s="120" t="s">
        <v>617</v>
      </c>
      <c r="F98" s="120" t="s">
        <v>145</v>
      </c>
      <c r="G98" s="120" t="s">
        <v>174</v>
      </c>
      <c r="H98" s="120" t="s">
        <v>147</v>
      </c>
      <c r="I98" s="120" t="s">
        <v>148</v>
      </c>
      <c r="J98" s="120" t="s">
        <v>618</v>
      </c>
      <c r="K98" s="120" t="s">
        <v>619</v>
      </c>
      <c r="L98" s="120" t="s">
        <v>620</v>
      </c>
      <c r="M98" s="195">
        <v>3</v>
      </c>
      <c r="N98" s="119" t="s">
        <v>621</v>
      </c>
      <c r="O98" s="119" t="s">
        <v>622</v>
      </c>
      <c r="P98" s="203" t="s">
        <v>1207</v>
      </c>
      <c r="Q98" s="204" t="s">
        <v>1208</v>
      </c>
      <c r="R98" s="205" t="s">
        <v>1209</v>
      </c>
      <c r="S98" s="206" t="s">
        <v>1210</v>
      </c>
      <c r="T98" s="207" t="s">
        <v>1211</v>
      </c>
      <c r="U98" s="120" t="s">
        <v>164</v>
      </c>
      <c r="V98" s="120" t="s">
        <v>162</v>
      </c>
      <c r="W98" s="120" t="s">
        <v>623</v>
      </c>
      <c r="X98" s="120" t="s">
        <v>396</v>
      </c>
      <c r="Y98" s="212" t="s">
        <v>158</v>
      </c>
      <c r="Z98" s="78"/>
    </row>
    <row r="99" spans="1:26" ht="119" customHeight="1">
      <c r="A99" s="78"/>
      <c r="B99" s="194">
        <v>98</v>
      </c>
      <c r="C99" s="279"/>
      <c r="D99" s="120" t="s">
        <v>616</v>
      </c>
      <c r="E99" s="120" t="s">
        <v>617</v>
      </c>
      <c r="F99" s="120" t="s">
        <v>145</v>
      </c>
      <c r="G99" s="120" t="s">
        <v>174</v>
      </c>
      <c r="H99" s="120" t="s">
        <v>147</v>
      </c>
      <c r="I99" s="120" t="s">
        <v>148</v>
      </c>
      <c r="J99" s="120" t="s">
        <v>618</v>
      </c>
      <c r="K99" s="120" t="s">
        <v>619</v>
      </c>
      <c r="L99" s="120" t="s">
        <v>624</v>
      </c>
      <c r="M99" s="195">
        <v>4</v>
      </c>
      <c r="N99" s="119" t="s">
        <v>625</v>
      </c>
      <c r="O99" s="119" t="s">
        <v>626</v>
      </c>
      <c r="P99" s="203" t="s">
        <v>1212</v>
      </c>
      <c r="Q99" s="204" t="s">
        <v>1213</v>
      </c>
      <c r="R99" s="205" t="s">
        <v>1214</v>
      </c>
      <c r="S99" s="206" t="s">
        <v>1215</v>
      </c>
      <c r="T99" s="207" t="s">
        <v>1216</v>
      </c>
      <c r="U99" s="120" t="s">
        <v>204</v>
      </c>
      <c r="V99" s="120" t="s">
        <v>410</v>
      </c>
      <c r="W99" s="120" t="s">
        <v>627</v>
      </c>
      <c r="X99" s="120" t="s">
        <v>396</v>
      </c>
      <c r="Y99" s="212" t="s">
        <v>158</v>
      </c>
      <c r="Z99" s="78"/>
    </row>
    <row r="100" spans="1:26" ht="119" customHeight="1">
      <c r="A100" s="78"/>
      <c r="B100" s="194">
        <v>99</v>
      </c>
      <c r="C100" s="279"/>
      <c r="D100" s="120" t="s">
        <v>628</v>
      </c>
      <c r="E100" s="120" t="s">
        <v>629</v>
      </c>
      <c r="F100" s="120" t="s">
        <v>145</v>
      </c>
      <c r="G100" s="120" t="s">
        <v>146</v>
      </c>
      <c r="H100" s="120" t="s">
        <v>147</v>
      </c>
      <c r="I100" s="120" t="s">
        <v>148</v>
      </c>
      <c r="J100" s="120" t="s">
        <v>630</v>
      </c>
      <c r="K100" s="120" t="s">
        <v>631</v>
      </c>
      <c r="L100" s="120" t="s">
        <v>632</v>
      </c>
      <c r="M100" s="195">
        <v>5</v>
      </c>
      <c r="N100" s="119" t="s">
        <v>633</v>
      </c>
      <c r="O100" s="119" t="s">
        <v>634</v>
      </c>
      <c r="P100" s="203" t="s">
        <v>1217</v>
      </c>
      <c r="Q100" s="204" t="s">
        <v>1218</v>
      </c>
      <c r="R100" s="205" t="s">
        <v>1219</v>
      </c>
      <c r="S100" s="206" t="s">
        <v>1220</v>
      </c>
      <c r="T100" s="207" t="s">
        <v>1221</v>
      </c>
      <c r="U100" s="120" t="s">
        <v>171</v>
      </c>
      <c r="V100" s="120" t="s">
        <v>169</v>
      </c>
      <c r="W100" s="120" t="s">
        <v>170</v>
      </c>
      <c r="X100" s="120" t="s">
        <v>199</v>
      </c>
      <c r="Y100" s="212" t="s">
        <v>165</v>
      </c>
      <c r="Z100" s="78"/>
    </row>
    <row r="101" spans="1:26" ht="119" customHeight="1">
      <c r="A101" s="78"/>
      <c r="B101" s="194">
        <v>100</v>
      </c>
      <c r="C101" s="279"/>
      <c r="D101" s="120" t="s">
        <v>628</v>
      </c>
      <c r="E101" s="120" t="s">
        <v>629</v>
      </c>
      <c r="F101" s="120" t="s">
        <v>145</v>
      </c>
      <c r="G101" s="120" t="s">
        <v>146</v>
      </c>
      <c r="H101" s="120" t="s">
        <v>147</v>
      </c>
      <c r="I101" s="120" t="s">
        <v>148</v>
      </c>
      <c r="J101" s="120" t="s">
        <v>630</v>
      </c>
      <c r="K101" s="120" t="s">
        <v>631</v>
      </c>
      <c r="L101" s="120" t="s">
        <v>635</v>
      </c>
      <c r="M101" s="195">
        <v>6</v>
      </c>
      <c r="N101" s="119" t="s">
        <v>636</v>
      </c>
      <c r="O101" s="119" t="s">
        <v>637</v>
      </c>
      <c r="P101" s="203" t="s">
        <v>1222</v>
      </c>
      <c r="Q101" s="204" t="s">
        <v>1223</v>
      </c>
      <c r="R101" s="205" t="s">
        <v>1224</v>
      </c>
      <c r="S101" s="206" t="s">
        <v>1225</v>
      </c>
      <c r="T101" s="207" t="s">
        <v>1226</v>
      </c>
      <c r="U101" s="120" t="s">
        <v>210</v>
      </c>
      <c r="V101" s="120" t="s">
        <v>208</v>
      </c>
      <c r="W101" s="120" t="s">
        <v>209</v>
      </c>
      <c r="X101" s="120" t="s">
        <v>199</v>
      </c>
      <c r="Y101" s="212" t="s">
        <v>165</v>
      </c>
      <c r="Z101" s="78"/>
    </row>
    <row r="102" spans="1:26" ht="119" customHeight="1">
      <c r="A102" s="78"/>
      <c r="B102" s="194">
        <v>101</v>
      </c>
      <c r="C102" s="279"/>
      <c r="D102" s="120" t="s">
        <v>638</v>
      </c>
      <c r="E102" s="120" t="s">
        <v>639</v>
      </c>
      <c r="F102" s="120" t="s">
        <v>145</v>
      </c>
      <c r="G102" s="120" t="s">
        <v>216</v>
      </c>
      <c r="H102" s="120" t="s">
        <v>147</v>
      </c>
      <c r="I102" s="120" t="s">
        <v>148</v>
      </c>
      <c r="J102" s="120" t="s">
        <v>640</v>
      </c>
      <c r="K102" s="120" t="s">
        <v>641</v>
      </c>
      <c r="L102" s="120" t="s">
        <v>642</v>
      </c>
      <c r="M102" s="195">
        <v>7</v>
      </c>
      <c r="N102" s="119" t="s">
        <v>643</v>
      </c>
      <c r="O102" s="119" t="s">
        <v>644</v>
      </c>
      <c r="P102" s="203" t="s">
        <v>1227</v>
      </c>
      <c r="Q102" s="204" t="s">
        <v>1228</v>
      </c>
      <c r="R102" s="205" t="s">
        <v>1229</v>
      </c>
      <c r="S102" s="206" t="s">
        <v>1230</v>
      </c>
      <c r="T102" s="207" t="s">
        <v>1231</v>
      </c>
      <c r="U102" s="120" t="s">
        <v>164</v>
      </c>
      <c r="V102" s="120" t="s">
        <v>169</v>
      </c>
      <c r="W102" s="120" t="s">
        <v>180</v>
      </c>
      <c r="X102" s="120" t="s">
        <v>157</v>
      </c>
      <c r="Y102" s="212" t="s">
        <v>165</v>
      </c>
      <c r="Z102" s="78"/>
    </row>
    <row r="103" spans="1:26" ht="119" customHeight="1">
      <c r="A103" s="78"/>
      <c r="B103" s="194">
        <v>102</v>
      </c>
      <c r="C103" s="279"/>
      <c r="D103" s="120" t="s">
        <v>638</v>
      </c>
      <c r="E103" s="120" t="s">
        <v>639</v>
      </c>
      <c r="F103" s="120" t="s">
        <v>145</v>
      </c>
      <c r="G103" s="120" t="s">
        <v>216</v>
      </c>
      <c r="H103" s="120" t="s">
        <v>147</v>
      </c>
      <c r="I103" s="120" t="s">
        <v>148</v>
      </c>
      <c r="J103" s="120" t="s">
        <v>640</v>
      </c>
      <c r="K103" s="120" t="s">
        <v>641</v>
      </c>
      <c r="L103" s="120" t="s">
        <v>645</v>
      </c>
      <c r="M103" s="195">
        <v>8</v>
      </c>
      <c r="N103" s="119" t="s">
        <v>646</v>
      </c>
      <c r="O103" s="119" t="s">
        <v>647</v>
      </c>
      <c r="P103" s="203" t="s">
        <v>1232</v>
      </c>
      <c r="Q103" s="204" t="s">
        <v>1233</v>
      </c>
      <c r="R103" s="205" t="s">
        <v>1234</v>
      </c>
      <c r="S103" s="206" t="s">
        <v>1235</v>
      </c>
      <c r="T103" s="207" t="s">
        <v>1236</v>
      </c>
      <c r="U103" s="120" t="s">
        <v>171</v>
      </c>
      <c r="V103" s="120" t="s">
        <v>162</v>
      </c>
      <c r="W103" s="120" t="s">
        <v>163</v>
      </c>
      <c r="X103" s="120" t="s">
        <v>157</v>
      </c>
      <c r="Y103" s="212" t="s">
        <v>165</v>
      </c>
      <c r="Z103" s="78"/>
    </row>
    <row r="104" spans="1:26" ht="119" customHeight="1">
      <c r="A104" s="78"/>
      <c r="B104" s="194">
        <v>103</v>
      </c>
      <c r="C104" s="279"/>
      <c r="D104" s="120" t="s">
        <v>648</v>
      </c>
      <c r="E104" s="120" t="s">
        <v>649</v>
      </c>
      <c r="F104" s="120" t="s">
        <v>145</v>
      </c>
      <c r="G104" s="120" t="s">
        <v>228</v>
      </c>
      <c r="H104" s="120" t="s">
        <v>147</v>
      </c>
      <c r="I104" s="120" t="s">
        <v>190</v>
      </c>
      <c r="J104" s="120" t="s">
        <v>650</v>
      </c>
      <c r="K104" s="120" t="s">
        <v>651</v>
      </c>
      <c r="L104" s="120" t="s">
        <v>652</v>
      </c>
      <c r="M104" s="195">
        <v>9</v>
      </c>
      <c r="N104" s="119" t="s">
        <v>653</v>
      </c>
      <c r="O104" s="119" t="s">
        <v>654</v>
      </c>
      <c r="P104" s="203" t="s">
        <v>1237</v>
      </c>
      <c r="Q104" s="204" t="s">
        <v>1238</v>
      </c>
      <c r="R104" s="205" t="s">
        <v>1239</v>
      </c>
      <c r="S104" s="206" t="s">
        <v>1240</v>
      </c>
      <c r="T104" s="207" t="s">
        <v>1241</v>
      </c>
      <c r="U104" s="120" t="s">
        <v>171</v>
      </c>
      <c r="V104" s="120" t="s">
        <v>162</v>
      </c>
      <c r="W104" s="120" t="s">
        <v>655</v>
      </c>
      <c r="X104" s="120" t="s">
        <v>157</v>
      </c>
      <c r="Y104" s="212" t="s">
        <v>165</v>
      </c>
      <c r="Z104" s="78"/>
    </row>
    <row r="105" spans="1:26" ht="119" customHeight="1">
      <c r="A105" s="78"/>
      <c r="B105" s="194">
        <v>104</v>
      </c>
      <c r="C105" s="279"/>
      <c r="D105" s="120" t="s">
        <v>648</v>
      </c>
      <c r="E105" s="120" t="s">
        <v>649</v>
      </c>
      <c r="F105" s="120" t="s">
        <v>145</v>
      </c>
      <c r="G105" s="120" t="s">
        <v>228</v>
      </c>
      <c r="H105" s="120" t="s">
        <v>147</v>
      </c>
      <c r="I105" s="120" t="s">
        <v>190</v>
      </c>
      <c r="J105" s="120" t="s">
        <v>650</v>
      </c>
      <c r="K105" s="120" t="s">
        <v>651</v>
      </c>
      <c r="L105" s="120" t="s">
        <v>656</v>
      </c>
      <c r="M105" s="195">
        <v>10</v>
      </c>
      <c r="N105" s="119" t="s">
        <v>657</v>
      </c>
      <c r="O105" s="119" t="s">
        <v>658</v>
      </c>
      <c r="P105" s="203" t="s">
        <v>1242</v>
      </c>
      <c r="Q105" s="204" t="s">
        <v>1243</v>
      </c>
      <c r="R105" s="205" t="s">
        <v>1244</v>
      </c>
      <c r="S105" s="206" t="s">
        <v>1245</v>
      </c>
      <c r="T105" s="207" t="s">
        <v>1246</v>
      </c>
      <c r="U105" s="120" t="s">
        <v>171</v>
      </c>
      <c r="V105" s="120" t="s">
        <v>169</v>
      </c>
      <c r="W105" s="120" t="s">
        <v>234</v>
      </c>
      <c r="X105" s="120" t="s">
        <v>157</v>
      </c>
      <c r="Y105" s="212" t="s">
        <v>165</v>
      </c>
      <c r="Z105" s="78"/>
    </row>
    <row r="106" spans="1:26" ht="119" customHeight="1">
      <c r="A106" s="78"/>
      <c r="B106" s="194">
        <v>105</v>
      </c>
      <c r="C106" s="279"/>
      <c r="D106" s="120" t="s">
        <v>648</v>
      </c>
      <c r="E106" s="120" t="s">
        <v>649</v>
      </c>
      <c r="F106" s="120" t="s">
        <v>145</v>
      </c>
      <c r="G106" s="120" t="s">
        <v>228</v>
      </c>
      <c r="H106" s="120" t="s">
        <v>147</v>
      </c>
      <c r="I106" s="120" t="s">
        <v>190</v>
      </c>
      <c r="J106" s="120" t="s">
        <v>650</v>
      </c>
      <c r="K106" s="120" t="s">
        <v>651</v>
      </c>
      <c r="L106" s="120" t="s">
        <v>659</v>
      </c>
      <c r="M106" s="195">
        <v>11</v>
      </c>
      <c r="N106" s="119" t="s">
        <v>660</v>
      </c>
      <c r="O106" s="119" t="s">
        <v>661</v>
      </c>
      <c r="P106" s="203" t="s">
        <v>1247</v>
      </c>
      <c r="Q106" s="204" t="s">
        <v>1248</v>
      </c>
      <c r="R106" s="205" t="s">
        <v>1249</v>
      </c>
      <c r="S106" s="206" t="s">
        <v>1250</v>
      </c>
      <c r="T106" s="207" t="s">
        <v>1251</v>
      </c>
      <c r="U106" s="120" t="s">
        <v>210</v>
      </c>
      <c r="V106" s="120" t="s">
        <v>208</v>
      </c>
      <c r="W106" s="120" t="s">
        <v>209</v>
      </c>
      <c r="X106" s="120" t="s">
        <v>157</v>
      </c>
      <c r="Y106" s="212" t="s">
        <v>165</v>
      </c>
      <c r="Z106" s="78"/>
    </row>
    <row r="107" spans="1:26" ht="119" customHeight="1">
      <c r="A107" s="78"/>
      <c r="B107" s="194">
        <v>106</v>
      </c>
      <c r="C107" s="279"/>
      <c r="D107" s="120" t="s">
        <v>662</v>
      </c>
      <c r="E107" s="120" t="s">
        <v>663</v>
      </c>
      <c r="F107" s="120" t="s">
        <v>145</v>
      </c>
      <c r="G107" s="120" t="s">
        <v>146</v>
      </c>
      <c r="H107" s="120" t="s">
        <v>147</v>
      </c>
      <c r="I107" s="120" t="s">
        <v>148</v>
      </c>
      <c r="J107" s="120" t="s">
        <v>664</v>
      </c>
      <c r="K107" s="120" t="s">
        <v>665</v>
      </c>
      <c r="L107" s="120" t="s">
        <v>666</v>
      </c>
      <c r="M107" s="195">
        <v>12</v>
      </c>
      <c r="N107" s="119" t="s">
        <v>667</v>
      </c>
      <c r="O107" s="119" t="s">
        <v>668</v>
      </c>
      <c r="P107" s="203" t="s">
        <v>1252</v>
      </c>
      <c r="Q107" s="204" t="s">
        <v>1253</v>
      </c>
      <c r="R107" s="205" t="s">
        <v>1254</v>
      </c>
      <c r="S107" s="206" t="s">
        <v>1255</v>
      </c>
      <c r="T107" s="207" t="s">
        <v>1256</v>
      </c>
      <c r="U107" s="120" t="s">
        <v>171</v>
      </c>
      <c r="V107" s="120" t="s">
        <v>162</v>
      </c>
      <c r="W107" s="120" t="s">
        <v>222</v>
      </c>
      <c r="X107" s="120" t="s">
        <v>157</v>
      </c>
      <c r="Y107" s="212" t="s">
        <v>165</v>
      </c>
      <c r="Z107" s="78"/>
    </row>
    <row r="108" spans="1:26" ht="119" customHeight="1">
      <c r="A108" s="78"/>
      <c r="B108" s="194">
        <v>107</v>
      </c>
      <c r="C108" s="279"/>
      <c r="D108" s="120" t="s">
        <v>662</v>
      </c>
      <c r="E108" s="120" t="s">
        <v>663</v>
      </c>
      <c r="F108" s="120" t="s">
        <v>145</v>
      </c>
      <c r="G108" s="120" t="s">
        <v>146</v>
      </c>
      <c r="H108" s="120" t="s">
        <v>147</v>
      </c>
      <c r="I108" s="120" t="s">
        <v>148</v>
      </c>
      <c r="J108" s="120" t="s">
        <v>664</v>
      </c>
      <c r="K108" s="120" t="s">
        <v>665</v>
      </c>
      <c r="L108" s="120" t="s">
        <v>669</v>
      </c>
      <c r="M108" s="195">
        <v>13</v>
      </c>
      <c r="N108" s="119" t="s">
        <v>670</v>
      </c>
      <c r="O108" s="119" t="s">
        <v>671</v>
      </c>
      <c r="P108" s="203" t="s">
        <v>1257</v>
      </c>
      <c r="Q108" s="204" t="s">
        <v>1258</v>
      </c>
      <c r="R108" s="205" t="s">
        <v>1259</v>
      </c>
      <c r="S108" s="206" t="s">
        <v>1260</v>
      </c>
      <c r="T108" s="207" t="s">
        <v>1261</v>
      </c>
      <c r="U108" s="120" t="s">
        <v>204</v>
      </c>
      <c r="V108" s="120" t="s">
        <v>410</v>
      </c>
      <c r="W108" s="120" t="s">
        <v>627</v>
      </c>
      <c r="X108" s="120" t="s">
        <v>157</v>
      </c>
      <c r="Y108" s="212" t="s">
        <v>165</v>
      </c>
      <c r="Z108" s="78"/>
    </row>
    <row r="109" spans="1:26" ht="119" customHeight="1">
      <c r="A109" s="78"/>
      <c r="B109" s="194">
        <v>108</v>
      </c>
      <c r="C109" s="279" t="s">
        <v>726</v>
      </c>
      <c r="D109" s="120" t="s">
        <v>672</v>
      </c>
      <c r="E109" s="120" t="s">
        <v>673</v>
      </c>
      <c r="F109" s="120" t="s">
        <v>318</v>
      </c>
      <c r="G109" s="120" t="s">
        <v>263</v>
      </c>
      <c r="H109" s="120" t="s">
        <v>319</v>
      </c>
      <c r="I109" s="120" t="s">
        <v>148</v>
      </c>
      <c r="J109" s="120" t="s">
        <v>674</v>
      </c>
      <c r="K109" s="120" t="s">
        <v>675</v>
      </c>
      <c r="L109" s="120" t="s">
        <v>676</v>
      </c>
      <c r="M109" s="195">
        <v>1</v>
      </c>
      <c r="N109" s="119" t="s">
        <v>677</v>
      </c>
      <c r="O109" s="119" t="s">
        <v>678</v>
      </c>
      <c r="P109" s="203" t="s">
        <v>1262</v>
      </c>
      <c r="Q109" s="204" t="s">
        <v>1263</v>
      </c>
      <c r="R109" s="205" t="s">
        <v>1264</v>
      </c>
      <c r="S109" s="206" t="s">
        <v>1265</v>
      </c>
      <c r="T109" s="207" t="s">
        <v>1266</v>
      </c>
      <c r="U109" s="120" t="s">
        <v>164</v>
      </c>
      <c r="V109" s="120" t="s">
        <v>169</v>
      </c>
      <c r="W109" s="120" t="s">
        <v>382</v>
      </c>
      <c r="X109" s="120" t="s">
        <v>396</v>
      </c>
      <c r="Y109" s="212" t="s">
        <v>158</v>
      </c>
      <c r="Z109" s="78"/>
    </row>
    <row r="110" spans="1:26" ht="119" customHeight="1">
      <c r="A110" s="78"/>
      <c r="B110" s="194">
        <v>109</v>
      </c>
      <c r="C110" s="279"/>
      <c r="D110" s="120" t="s">
        <v>672</v>
      </c>
      <c r="E110" s="120" t="s">
        <v>673</v>
      </c>
      <c r="F110" s="120" t="s">
        <v>318</v>
      </c>
      <c r="G110" s="120" t="s">
        <v>263</v>
      </c>
      <c r="H110" s="120" t="s">
        <v>319</v>
      </c>
      <c r="I110" s="120" t="s">
        <v>148</v>
      </c>
      <c r="J110" s="120" t="s">
        <v>674</v>
      </c>
      <c r="K110" s="120" t="s">
        <v>675</v>
      </c>
      <c r="L110" s="120" t="s">
        <v>679</v>
      </c>
      <c r="M110" s="195">
        <v>2</v>
      </c>
      <c r="N110" s="119" t="s">
        <v>680</v>
      </c>
      <c r="O110" s="119" t="s">
        <v>681</v>
      </c>
      <c r="P110" s="203" t="s">
        <v>1267</v>
      </c>
      <c r="Q110" s="204" t="s">
        <v>1268</v>
      </c>
      <c r="R110" s="205" t="s">
        <v>1269</v>
      </c>
      <c r="S110" s="206" t="s">
        <v>1270</v>
      </c>
      <c r="T110" s="207" t="s">
        <v>1271</v>
      </c>
      <c r="U110" s="120" t="s">
        <v>210</v>
      </c>
      <c r="V110" s="120" t="s">
        <v>208</v>
      </c>
      <c r="W110" s="120" t="s">
        <v>209</v>
      </c>
      <c r="X110" s="120" t="s">
        <v>396</v>
      </c>
      <c r="Y110" s="212" t="s">
        <v>165</v>
      </c>
      <c r="Z110" s="78"/>
    </row>
    <row r="111" spans="1:26" ht="119" customHeight="1">
      <c r="A111" s="78"/>
      <c r="B111" s="194">
        <v>110</v>
      </c>
      <c r="C111" s="279"/>
      <c r="D111" s="120" t="s">
        <v>682</v>
      </c>
      <c r="E111" s="120" t="s">
        <v>683</v>
      </c>
      <c r="F111" s="120" t="s">
        <v>278</v>
      </c>
      <c r="G111" s="120" t="s">
        <v>174</v>
      </c>
      <c r="H111" s="120" t="s">
        <v>279</v>
      </c>
      <c r="I111" s="120" t="s">
        <v>342</v>
      </c>
      <c r="J111" s="120" t="s">
        <v>684</v>
      </c>
      <c r="K111" s="120" t="s">
        <v>685</v>
      </c>
      <c r="L111" s="120" t="s">
        <v>686</v>
      </c>
      <c r="M111" s="195">
        <v>3</v>
      </c>
      <c r="N111" s="119" t="s">
        <v>687</v>
      </c>
      <c r="O111" s="119" t="s">
        <v>688</v>
      </c>
      <c r="P111" s="203" t="s">
        <v>1272</v>
      </c>
      <c r="Q111" s="204" t="s">
        <v>1273</v>
      </c>
      <c r="R111" s="205" t="s">
        <v>1274</v>
      </c>
      <c r="S111" s="206" t="s">
        <v>1275</v>
      </c>
      <c r="T111" s="207" t="s">
        <v>1276</v>
      </c>
      <c r="U111" s="120" t="s">
        <v>164</v>
      </c>
      <c r="V111" s="120" t="s">
        <v>169</v>
      </c>
      <c r="W111" s="120" t="s">
        <v>246</v>
      </c>
      <c r="X111" s="120" t="s">
        <v>396</v>
      </c>
      <c r="Y111" s="212" t="s">
        <v>158</v>
      </c>
      <c r="Z111" s="78"/>
    </row>
    <row r="112" spans="1:26" ht="119" customHeight="1">
      <c r="A112" s="78"/>
      <c r="B112" s="194">
        <v>111</v>
      </c>
      <c r="C112" s="279"/>
      <c r="D112" s="120" t="s">
        <v>689</v>
      </c>
      <c r="E112" s="120" t="s">
        <v>690</v>
      </c>
      <c r="F112" s="120" t="s">
        <v>278</v>
      </c>
      <c r="G112" s="120" t="s">
        <v>263</v>
      </c>
      <c r="H112" s="120" t="s">
        <v>279</v>
      </c>
      <c r="I112" s="120" t="s">
        <v>416</v>
      </c>
      <c r="J112" s="120" t="s">
        <v>691</v>
      </c>
      <c r="K112" s="120" t="s">
        <v>692</v>
      </c>
      <c r="L112" s="120" t="s">
        <v>693</v>
      </c>
      <c r="M112" s="195">
        <v>4</v>
      </c>
      <c r="N112" s="119" t="s">
        <v>694</v>
      </c>
      <c r="O112" s="119" t="s">
        <v>695</v>
      </c>
      <c r="P112" s="203" t="s">
        <v>1277</v>
      </c>
      <c r="Q112" s="218" t="s">
        <v>1278</v>
      </c>
      <c r="R112" s="205" t="s">
        <v>1279</v>
      </c>
      <c r="S112" s="206" t="s">
        <v>1280</v>
      </c>
      <c r="T112" s="207" t="s">
        <v>1281</v>
      </c>
      <c r="U112" s="120" t="s">
        <v>164</v>
      </c>
      <c r="V112" s="120" t="s">
        <v>184</v>
      </c>
      <c r="W112" s="120" t="s">
        <v>184</v>
      </c>
      <c r="X112" s="120" t="s">
        <v>396</v>
      </c>
      <c r="Y112" s="212" t="s">
        <v>165</v>
      </c>
      <c r="Z112" s="78"/>
    </row>
    <row r="113" spans="1:26" ht="119" customHeight="1">
      <c r="A113" s="78"/>
      <c r="B113" s="194">
        <v>112</v>
      </c>
      <c r="C113" s="279"/>
      <c r="D113" s="120" t="s">
        <v>689</v>
      </c>
      <c r="E113" s="120" t="s">
        <v>690</v>
      </c>
      <c r="F113" s="120" t="s">
        <v>278</v>
      </c>
      <c r="G113" s="120" t="s">
        <v>263</v>
      </c>
      <c r="H113" s="120" t="s">
        <v>279</v>
      </c>
      <c r="I113" s="120" t="s">
        <v>416</v>
      </c>
      <c r="J113" s="120" t="s">
        <v>691</v>
      </c>
      <c r="K113" s="120" t="s">
        <v>692</v>
      </c>
      <c r="L113" s="120" t="s">
        <v>696</v>
      </c>
      <c r="M113" s="195">
        <v>5</v>
      </c>
      <c r="N113" s="119" t="s">
        <v>697</v>
      </c>
      <c r="O113" s="119" t="s">
        <v>698</v>
      </c>
      <c r="P113" s="203" t="s">
        <v>1282</v>
      </c>
      <c r="Q113" s="204" t="s">
        <v>1283</v>
      </c>
      <c r="R113" s="205" t="s">
        <v>1284</v>
      </c>
      <c r="S113" s="206" t="s">
        <v>1285</v>
      </c>
      <c r="T113" s="207" t="s">
        <v>1286</v>
      </c>
      <c r="U113" s="120" t="s">
        <v>171</v>
      </c>
      <c r="V113" s="120" t="s">
        <v>169</v>
      </c>
      <c r="W113" s="120" t="s">
        <v>234</v>
      </c>
      <c r="X113" s="120" t="s">
        <v>396</v>
      </c>
      <c r="Y113" s="212" t="s">
        <v>165</v>
      </c>
      <c r="Z113" s="78"/>
    </row>
    <row r="114" spans="1:26" ht="119" customHeight="1">
      <c r="A114" s="78"/>
      <c r="B114" s="194">
        <v>113</v>
      </c>
      <c r="C114" s="279"/>
      <c r="D114" s="120" t="s">
        <v>699</v>
      </c>
      <c r="E114" s="120" t="s">
        <v>700</v>
      </c>
      <c r="F114" s="120" t="s">
        <v>278</v>
      </c>
      <c r="G114" s="120" t="s">
        <v>263</v>
      </c>
      <c r="H114" s="120" t="s">
        <v>279</v>
      </c>
      <c r="I114" s="120" t="s">
        <v>148</v>
      </c>
      <c r="J114" s="120" t="s">
        <v>701</v>
      </c>
      <c r="K114" s="120" t="s">
        <v>702</v>
      </c>
      <c r="L114" s="120" t="s">
        <v>703</v>
      </c>
      <c r="M114" s="195">
        <v>6</v>
      </c>
      <c r="N114" s="119" t="s">
        <v>704</v>
      </c>
      <c r="O114" s="119" t="s">
        <v>705</v>
      </c>
      <c r="P114" s="203" t="s">
        <v>1287</v>
      </c>
      <c r="Q114" s="204" t="s">
        <v>1288</v>
      </c>
      <c r="R114" s="205" t="s">
        <v>1289</v>
      </c>
      <c r="S114" s="206" t="s">
        <v>1290</v>
      </c>
      <c r="T114" s="207" t="s">
        <v>1291</v>
      </c>
      <c r="U114" s="120" t="s">
        <v>164</v>
      </c>
      <c r="V114" s="120" t="s">
        <v>169</v>
      </c>
      <c r="W114" s="120" t="s">
        <v>246</v>
      </c>
      <c r="X114" s="120" t="s">
        <v>396</v>
      </c>
      <c r="Y114" s="212" t="s">
        <v>158</v>
      </c>
      <c r="Z114" s="78"/>
    </row>
    <row r="115" spans="1:26" ht="119" customHeight="1">
      <c r="A115" s="78"/>
      <c r="B115" s="194">
        <v>114</v>
      </c>
      <c r="C115" s="279"/>
      <c r="D115" s="120" t="s">
        <v>706</v>
      </c>
      <c r="E115" s="120" t="s">
        <v>707</v>
      </c>
      <c r="F115" s="120" t="s">
        <v>318</v>
      </c>
      <c r="G115" s="120" t="s">
        <v>174</v>
      </c>
      <c r="H115" s="120" t="s">
        <v>319</v>
      </c>
      <c r="I115" s="120" t="s">
        <v>190</v>
      </c>
      <c r="J115" s="120" t="s">
        <v>708</v>
      </c>
      <c r="K115" s="120" t="s">
        <v>709</v>
      </c>
      <c r="L115" s="120" t="s">
        <v>710</v>
      </c>
      <c r="M115" s="195">
        <v>7</v>
      </c>
      <c r="N115" s="119" t="s">
        <v>711</v>
      </c>
      <c r="O115" s="119" t="s">
        <v>712</v>
      </c>
      <c r="P115" s="203" t="s">
        <v>1292</v>
      </c>
      <c r="Q115" s="204" t="s">
        <v>1293</v>
      </c>
      <c r="R115" s="205" t="s">
        <v>1294</v>
      </c>
      <c r="S115" s="206" t="s">
        <v>1295</v>
      </c>
      <c r="T115" s="207" t="s">
        <v>1296</v>
      </c>
      <c r="U115" s="120" t="s">
        <v>156</v>
      </c>
      <c r="V115" s="120" t="s">
        <v>184</v>
      </c>
      <c r="W115" s="120" t="s">
        <v>184</v>
      </c>
      <c r="X115" s="120" t="s">
        <v>157</v>
      </c>
      <c r="Y115" s="212" t="s">
        <v>165</v>
      </c>
      <c r="Z115" s="78"/>
    </row>
    <row r="116" spans="1:26" ht="119" customHeight="1">
      <c r="A116" s="78"/>
      <c r="B116" s="194">
        <v>115</v>
      </c>
      <c r="C116" s="279"/>
      <c r="D116" s="120" t="s">
        <v>706</v>
      </c>
      <c r="E116" s="120" t="s">
        <v>707</v>
      </c>
      <c r="F116" s="120" t="s">
        <v>318</v>
      </c>
      <c r="G116" s="120" t="s">
        <v>174</v>
      </c>
      <c r="H116" s="120" t="s">
        <v>319</v>
      </c>
      <c r="I116" s="120" t="s">
        <v>190</v>
      </c>
      <c r="J116" s="120" t="s">
        <v>708</v>
      </c>
      <c r="K116" s="120" t="s">
        <v>709</v>
      </c>
      <c r="L116" s="120" t="s">
        <v>713</v>
      </c>
      <c r="M116" s="195">
        <v>8</v>
      </c>
      <c r="N116" s="119" t="s">
        <v>714</v>
      </c>
      <c r="O116" s="119" t="s">
        <v>715</v>
      </c>
      <c r="P116" s="203" t="s">
        <v>1297</v>
      </c>
      <c r="Q116" s="204" t="s">
        <v>1298</v>
      </c>
      <c r="R116" s="205" t="s">
        <v>1299</v>
      </c>
      <c r="S116" s="206" t="s">
        <v>1300</v>
      </c>
      <c r="T116" s="207" t="s">
        <v>1301</v>
      </c>
      <c r="U116" s="120" t="s">
        <v>171</v>
      </c>
      <c r="V116" s="120" t="s">
        <v>169</v>
      </c>
      <c r="W116" s="120" t="s">
        <v>234</v>
      </c>
      <c r="X116" s="120" t="s">
        <v>157</v>
      </c>
      <c r="Y116" s="212" t="s">
        <v>165</v>
      </c>
      <c r="Z116" s="78"/>
    </row>
    <row r="117" spans="1:26" ht="72.5">
      <c r="A117" s="78"/>
      <c r="B117" s="194">
        <v>116</v>
      </c>
      <c r="C117" s="280" t="s">
        <v>1393</v>
      </c>
      <c r="D117" s="196"/>
      <c r="E117" s="196"/>
      <c r="F117" s="196"/>
      <c r="G117" s="196"/>
      <c r="H117" s="196"/>
      <c r="I117" s="196"/>
      <c r="J117" s="196"/>
      <c r="K117" s="196"/>
      <c r="L117" s="196"/>
      <c r="M117" s="195">
        <v>1</v>
      </c>
      <c r="N117" s="208" t="s">
        <v>1314</v>
      </c>
      <c r="O117" s="209" t="s">
        <v>1464</v>
      </c>
      <c r="P117" s="203" t="s">
        <v>1328</v>
      </c>
      <c r="Q117" s="204" t="s">
        <v>1329</v>
      </c>
      <c r="R117" s="205" t="s">
        <v>1330</v>
      </c>
      <c r="S117" s="206" t="s">
        <v>1331</v>
      </c>
      <c r="T117" s="207" t="s">
        <v>1332</v>
      </c>
      <c r="U117" s="333" t="s">
        <v>171</v>
      </c>
      <c r="V117" s="333" t="s">
        <v>169</v>
      </c>
      <c r="W117" s="333" t="s">
        <v>234</v>
      </c>
      <c r="X117" s="333" t="s">
        <v>157</v>
      </c>
      <c r="Y117" s="334" t="s">
        <v>158</v>
      </c>
      <c r="Z117" s="78"/>
    </row>
    <row r="118" spans="1:26" ht="60">
      <c r="A118" s="78"/>
      <c r="B118" s="194">
        <v>117</v>
      </c>
      <c r="C118" s="279"/>
      <c r="D118" s="196"/>
      <c r="E118" s="196"/>
      <c r="F118" s="196"/>
      <c r="G118" s="196"/>
      <c r="H118" s="196"/>
      <c r="I118" s="196"/>
      <c r="J118" s="196"/>
      <c r="K118" s="196"/>
      <c r="L118" s="196"/>
      <c r="M118" s="195">
        <v>2</v>
      </c>
      <c r="N118" s="106" t="s">
        <v>1302</v>
      </c>
      <c r="O118" s="209" t="s">
        <v>1465</v>
      </c>
      <c r="P118" s="203" t="s">
        <v>1333</v>
      </c>
      <c r="Q118" s="204" t="s">
        <v>1334</v>
      </c>
      <c r="R118" s="205" t="s">
        <v>1335</v>
      </c>
      <c r="S118" s="206" t="s">
        <v>1336</v>
      </c>
      <c r="T118" s="207" t="s">
        <v>1337</v>
      </c>
      <c r="U118" s="333" t="s">
        <v>171</v>
      </c>
      <c r="V118" s="333" t="s">
        <v>169</v>
      </c>
      <c r="W118" s="333" t="s">
        <v>246</v>
      </c>
      <c r="X118" s="333" t="s">
        <v>157</v>
      </c>
      <c r="Y118" s="334" t="s">
        <v>158</v>
      </c>
      <c r="Z118" s="78"/>
    </row>
    <row r="119" spans="1:26" ht="72.5">
      <c r="A119" s="78"/>
      <c r="B119" s="194">
        <v>118</v>
      </c>
      <c r="C119" s="279"/>
      <c r="D119" s="196"/>
      <c r="E119" s="196"/>
      <c r="F119" s="196"/>
      <c r="G119" s="196"/>
      <c r="H119" s="196"/>
      <c r="I119" s="196"/>
      <c r="J119" s="196"/>
      <c r="K119" s="196"/>
      <c r="L119" s="196"/>
      <c r="M119" s="195">
        <v>3</v>
      </c>
      <c r="N119" s="106" t="s">
        <v>1303</v>
      </c>
      <c r="O119" s="209" t="s">
        <v>1466</v>
      </c>
      <c r="P119" s="203" t="s">
        <v>1338</v>
      </c>
      <c r="Q119" s="204" t="s">
        <v>1339</v>
      </c>
      <c r="R119" s="205" t="s">
        <v>1340</v>
      </c>
      <c r="S119" s="206" t="s">
        <v>1341</v>
      </c>
      <c r="T119" s="207" t="s">
        <v>1342</v>
      </c>
      <c r="U119" s="333" t="s">
        <v>171</v>
      </c>
      <c r="V119" s="333" t="s">
        <v>169</v>
      </c>
      <c r="W119" s="333" t="s">
        <v>246</v>
      </c>
      <c r="X119" s="333" t="s">
        <v>157</v>
      </c>
      <c r="Y119" s="334" t="s">
        <v>158</v>
      </c>
      <c r="Z119" s="78"/>
    </row>
    <row r="120" spans="1:26" ht="87">
      <c r="A120" s="78"/>
      <c r="B120" s="194">
        <v>119</v>
      </c>
      <c r="C120" s="279"/>
      <c r="D120" s="196"/>
      <c r="E120" s="196"/>
      <c r="F120" s="196"/>
      <c r="G120" s="196"/>
      <c r="H120" s="196"/>
      <c r="I120" s="196"/>
      <c r="J120" s="196"/>
      <c r="K120" s="196"/>
      <c r="L120" s="196"/>
      <c r="M120" s="195">
        <v>4</v>
      </c>
      <c r="N120" s="106" t="s">
        <v>1304</v>
      </c>
      <c r="O120" s="209" t="s">
        <v>1467</v>
      </c>
      <c r="P120" s="203" t="s">
        <v>1343</v>
      </c>
      <c r="Q120" s="204" t="s">
        <v>1344</v>
      </c>
      <c r="R120" s="205" t="s">
        <v>1345</v>
      </c>
      <c r="S120" s="206" t="s">
        <v>1346</v>
      </c>
      <c r="T120" s="207" t="s">
        <v>1347</v>
      </c>
      <c r="U120" s="333" t="s">
        <v>204</v>
      </c>
      <c r="V120" s="333" t="s">
        <v>410</v>
      </c>
      <c r="W120" s="333" t="s">
        <v>627</v>
      </c>
      <c r="X120" s="333" t="s">
        <v>157</v>
      </c>
      <c r="Y120" s="334" t="s">
        <v>158</v>
      </c>
      <c r="Z120" s="78"/>
    </row>
    <row r="121" spans="1:26" ht="48">
      <c r="A121" s="78"/>
      <c r="B121" s="194">
        <v>120</v>
      </c>
      <c r="C121" s="279"/>
      <c r="D121" s="196"/>
      <c r="E121" s="196"/>
      <c r="F121" s="196"/>
      <c r="G121" s="196"/>
      <c r="H121" s="196"/>
      <c r="I121" s="196"/>
      <c r="J121" s="196"/>
      <c r="K121" s="196"/>
      <c r="L121" s="196"/>
      <c r="M121" s="195">
        <v>5</v>
      </c>
      <c r="N121" s="106" t="s">
        <v>1305</v>
      </c>
      <c r="O121" s="209" t="s">
        <v>1468</v>
      </c>
      <c r="P121" s="203" t="s">
        <v>1348</v>
      </c>
      <c r="Q121" s="204" t="s">
        <v>1349</v>
      </c>
      <c r="R121" s="205" t="s">
        <v>1350</v>
      </c>
      <c r="S121" s="206" t="s">
        <v>1351</v>
      </c>
      <c r="T121" s="207" t="s">
        <v>1352</v>
      </c>
      <c r="U121" s="333" t="s">
        <v>156</v>
      </c>
      <c r="V121" s="333" t="s">
        <v>169</v>
      </c>
      <c r="W121" s="333" t="s">
        <v>246</v>
      </c>
      <c r="X121" s="333" t="s">
        <v>157</v>
      </c>
      <c r="Y121" s="334" t="s">
        <v>158</v>
      </c>
      <c r="Z121" s="78"/>
    </row>
    <row r="122" spans="1:26" ht="58">
      <c r="A122" s="78"/>
      <c r="B122" s="194">
        <v>121</v>
      </c>
      <c r="C122" s="279"/>
      <c r="D122" s="196"/>
      <c r="E122" s="196"/>
      <c r="F122" s="196"/>
      <c r="G122" s="196"/>
      <c r="H122" s="196"/>
      <c r="I122" s="196"/>
      <c r="J122" s="196"/>
      <c r="K122" s="196"/>
      <c r="L122" s="196"/>
      <c r="M122" s="195">
        <v>6</v>
      </c>
      <c r="N122" s="106" t="s">
        <v>1306</v>
      </c>
      <c r="O122" s="209" t="s">
        <v>1469</v>
      </c>
      <c r="P122" s="203" t="s">
        <v>1353</v>
      </c>
      <c r="Q122" s="204" t="s">
        <v>1354</v>
      </c>
      <c r="R122" s="205" t="s">
        <v>1355</v>
      </c>
      <c r="S122" s="206" t="s">
        <v>1356</v>
      </c>
      <c r="T122" s="207" t="s">
        <v>1357</v>
      </c>
      <c r="U122" s="333" t="s">
        <v>156</v>
      </c>
      <c r="V122" s="333" t="s">
        <v>169</v>
      </c>
      <c r="W122" s="333" t="s">
        <v>246</v>
      </c>
      <c r="X122" s="333" t="s">
        <v>157</v>
      </c>
      <c r="Y122" s="334" t="s">
        <v>158</v>
      </c>
      <c r="Z122" s="78"/>
    </row>
    <row r="123" spans="1:26" ht="60">
      <c r="A123" s="78"/>
      <c r="B123" s="194">
        <v>122</v>
      </c>
      <c r="C123" s="279"/>
      <c r="D123" s="196"/>
      <c r="E123" s="196"/>
      <c r="F123" s="196"/>
      <c r="G123" s="196"/>
      <c r="H123" s="196"/>
      <c r="I123" s="196"/>
      <c r="J123" s="196"/>
      <c r="K123" s="196"/>
      <c r="L123" s="196"/>
      <c r="M123" s="195">
        <v>7</v>
      </c>
      <c r="N123" s="106" t="s">
        <v>1307</v>
      </c>
      <c r="O123" s="209" t="s">
        <v>1470</v>
      </c>
      <c r="P123" s="203" t="s">
        <v>1358</v>
      </c>
      <c r="Q123" s="204" t="s">
        <v>1359</v>
      </c>
      <c r="R123" s="205" t="s">
        <v>1360</v>
      </c>
      <c r="S123" s="206" t="s">
        <v>1361</v>
      </c>
      <c r="T123" s="207" t="s">
        <v>1362</v>
      </c>
      <c r="U123" s="333" t="s">
        <v>164</v>
      </c>
      <c r="V123" s="333" t="s">
        <v>169</v>
      </c>
      <c r="W123" s="333" t="s">
        <v>234</v>
      </c>
      <c r="X123" s="333" t="s">
        <v>157</v>
      </c>
      <c r="Y123" s="334" t="s">
        <v>158</v>
      </c>
      <c r="Z123" s="78"/>
    </row>
    <row r="124" spans="1:26" ht="72.5">
      <c r="A124" s="78"/>
      <c r="B124" s="194">
        <v>123</v>
      </c>
      <c r="C124" s="279"/>
      <c r="D124" s="196"/>
      <c r="E124" s="196"/>
      <c r="F124" s="196"/>
      <c r="G124" s="196"/>
      <c r="H124" s="196"/>
      <c r="I124" s="196"/>
      <c r="J124" s="196"/>
      <c r="K124" s="196"/>
      <c r="L124" s="196"/>
      <c r="M124" s="195">
        <v>8</v>
      </c>
      <c r="N124" s="106" t="s">
        <v>1308</v>
      </c>
      <c r="O124" s="209" t="s">
        <v>1471</v>
      </c>
      <c r="P124" s="203" t="s">
        <v>1363</v>
      </c>
      <c r="Q124" s="204" t="s">
        <v>1364</v>
      </c>
      <c r="R124" s="205" t="s">
        <v>1365</v>
      </c>
      <c r="S124" s="206" t="s">
        <v>1366</v>
      </c>
      <c r="T124" s="207" t="s">
        <v>1367</v>
      </c>
      <c r="U124" s="333" t="s">
        <v>164</v>
      </c>
      <c r="V124" s="333" t="s">
        <v>169</v>
      </c>
      <c r="W124" s="333" t="s">
        <v>246</v>
      </c>
      <c r="X124" s="333" t="s">
        <v>157</v>
      </c>
      <c r="Y124" s="334" t="s">
        <v>158</v>
      </c>
      <c r="Z124" s="78"/>
    </row>
    <row r="125" spans="1:26" ht="60">
      <c r="A125" s="78"/>
      <c r="B125" s="194">
        <v>124</v>
      </c>
      <c r="C125" s="279"/>
      <c r="D125" s="196"/>
      <c r="E125" s="196"/>
      <c r="F125" s="196"/>
      <c r="G125" s="196"/>
      <c r="H125" s="196"/>
      <c r="I125" s="196"/>
      <c r="J125" s="196"/>
      <c r="K125" s="196"/>
      <c r="L125" s="196"/>
      <c r="M125" s="195">
        <v>9</v>
      </c>
      <c r="N125" s="106" t="s">
        <v>1309</v>
      </c>
      <c r="O125" s="209" t="s">
        <v>1472</v>
      </c>
      <c r="P125" s="203" t="s">
        <v>1368</v>
      </c>
      <c r="Q125" s="204" t="s">
        <v>1369</v>
      </c>
      <c r="R125" s="205" t="s">
        <v>1370</v>
      </c>
      <c r="S125" s="206" t="s">
        <v>1371</v>
      </c>
      <c r="T125" s="207" t="s">
        <v>1372</v>
      </c>
      <c r="U125" s="333" t="s">
        <v>171</v>
      </c>
      <c r="V125" s="333" t="s">
        <v>184</v>
      </c>
      <c r="W125" s="333" t="s">
        <v>184</v>
      </c>
      <c r="X125" s="333" t="s">
        <v>157</v>
      </c>
      <c r="Y125" s="334" t="s">
        <v>158</v>
      </c>
      <c r="Z125" s="78"/>
    </row>
    <row r="126" spans="1:26" ht="60">
      <c r="A126" s="78"/>
      <c r="B126" s="194">
        <v>125</v>
      </c>
      <c r="C126" s="279"/>
      <c r="D126" s="196"/>
      <c r="E126" s="196"/>
      <c r="F126" s="196"/>
      <c r="G126" s="196"/>
      <c r="H126" s="196"/>
      <c r="I126" s="196"/>
      <c r="J126" s="196"/>
      <c r="K126" s="196"/>
      <c r="L126" s="196"/>
      <c r="M126" s="195">
        <v>10</v>
      </c>
      <c r="N126" s="106" t="s">
        <v>1310</v>
      </c>
      <c r="O126" s="209" t="s">
        <v>1473</v>
      </c>
      <c r="P126" s="203" t="s">
        <v>1373</v>
      </c>
      <c r="Q126" s="204" t="s">
        <v>1374</v>
      </c>
      <c r="R126" s="205" t="s">
        <v>1375</v>
      </c>
      <c r="S126" s="206" t="s">
        <v>1376</v>
      </c>
      <c r="T126" s="207" t="s">
        <v>1377</v>
      </c>
      <c r="U126" s="333" t="s">
        <v>204</v>
      </c>
      <c r="V126" s="333" t="s">
        <v>410</v>
      </c>
      <c r="W126" s="333" t="s">
        <v>627</v>
      </c>
      <c r="X126" s="333" t="s">
        <v>157</v>
      </c>
      <c r="Y126" s="334" t="s">
        <v>158</v>
      </c>
      <c r="Z126" s="78"/>
    </row>
    <row r="127" spans="1:26" ht="72.5">
      <c r="A127" s="78"/>
      <c r="B127" s="194">
        <v>126</v>
      </c>
      <c r="C127" s="279"/>
      <c r="D127" s="196"/>
      <c r="E127" s="196"/>
      <c r="F127" s="196"/>
      <c r="G127" s="196"/>
      <c r="H127" s="196"/>
      <c r="I127" s="196"/>
      <c r="J127" s="196"/>
      <c r="K127" s="196"/>
      <c r="L127" s="196"/>
      <c r="M127" s="195">
        <v>11</v>
      </c>
      <c r="N127" s="106" t="s">
        <v>1311</v>
      </c>
      <c r="O127" s="209" t="s">
        <v>1474</v>
      </c>
      <c r="P127" s="203" t="s">
        <v>1378</v>
      </c>
      <c r="Q127" s="204" t="s">
        <v>1379</v>
      </c>
      <c r="R127" s="205" t="s">
        <v>1380</v>
      </c>
      <c r="S127" s="206" t="s">
        <v>1381</v>
      </c>
      <c r="T127" s="207" t="s">
        <v>1382</v>
      </c>
      <c r="U127" s="333" t="s">
        <v>210</v>
      </c>
      <c r="V127" s="333" t="s">
        <v>169</v>
      </c>
      <c r="W127" s="333" t="s">
        <v>246</v>
      </c>
      <c r="X127" s="333" t="s">
        <v>157</v>
      </c>
      <c r="Y127" s="334" t="s">
        <v>158</v>
      </c>
      <c r="Z127" s="78"/>
    </row>
    <row r="128" spans="1:26" ht="60">
      <c r="A128" s="78"/>
      <c r="B128" s="194">
        <v>127</v>
      </c>
      <c r="C128" s="279"/>
      <c r="D128" s="196"/>
      <c r="E128" s="196"/>
      <c r="F128" s="196"/>
      <c r="G128" s="196"/>
      <c r="H128" s="196"/>
      <c r="I128" s="196"/>
      <c r="J128" s="196"/>
      <c r="K128" s="196"/>
      <c r="L128" s="196"/>
      <c r="M128" s="195">
        <v>12</v>
      </c>
      <c r="N128" s="106" t="s">
        <v>1312</v>
      </c>
      <c r="O128" s="209" t="s">
        <v>1475</v>
      </c>
      <c r="P128" s="203" t="s">
        <v>1383</v>
      </c>
      <c r="Q128" s="204" t="s">
        <v>1384</v>
      </c>
      <c r="R128" s="205" t="s">
        <v>1385</v>
      </c>
      <c r="S128" s="206" t="s">
        <v>1386</v>
      </c>
      <c r="T128" s="207" t="s">
        <v>1387</v>
      </c>
      <c r="U128" s="333" t="s">
        <v>210</v>
      </c>
      <c r="V128" s="333" t="s">
        <v>208</v>
      </c>
      <c r="W128" s="333" t="s">
        <v>209</v>
      </c>
      <c r="X128" s="333" t="s">
        <v>157</v>
      </c>
      <c r="Y128" s="334" t="s">
        <v>158</v>
      </c>
      <c r="Z128" s="78"/>
    </row>
    <row r="129" spans="1:26" ht="72.5" thickBot="1">
      <c r="A129" s="78"/>
      <c r="B129" s="197">
        <v>128</v>
      </c>
      <c r="C129" s="281"/>
      <c r="D129" s="198"/>
      <c r="E129" s="198"/>
      <c r="F129" s="198"/>
      <c r="G129" s="198"/>
      <c r="H129" s="198"/>
      <c r="I129" s="198"/>
      <c r="J129" s="198"/>
      <c r="K129" s="198"/>
      <c r="L129" s="198"/>
      <c r="M129" s="199">
        <v>13</v>
      </c>
      <c r="N129" s="107" t="s">
        <v>1313</v>
      </c>
      <c r="O129" s="210" t="s">
        <v>1476</v>
      </c>
      <c r="P129" s="213" t="s">
        <v>1388</v>
      </c>
      <c r="Q129" s="214" t="s">
        <v>1389</v>
      </c>
      <c r="R129" s="215" t="s">
        <v>1390</v>
      </c>
      <c r="S129" s="216" t="s">
        <v>1391</v>
      </c>
      <c r="T129" s="217" t="s">
        <v>1392</v>
      </c>
      <c r="U129" s="335" t="s">
        <v>210</v>
      </c>
      <c r="V129" s="335" t="s">
        <v>208</v>
      </c>
      <c r="W129" s="335" t="s">
        <v>209</v>
      </c>
      <c r="X129" s="335" t="s">
        <v>157</v>
      </c>
      <c r="Y129" s="336" t="s">
        <v>158</v>
      </c>
      <c r="Z129" s="78"/>
    </row>
    <row r="130" spans="1:26" s="78" customFormat="1" ht="22" customHeight="1"/>
    <row r="141" spans="1:26" ht="14.5" hidden="1" customHeight="1"/>
    <row r="148" spans="3:3" hidden="1">
      <c r="C148" s="97"/>
    </row>
    <row r="149" spans="3:3" hidden="1">
      <c r="C149" s="97"/>
    </row>
    <row r="150" spans="3:3" hidden="1">
      <c r="C150" s="97"/>
    </row>
    <row r="151" spans="3:3" hidden="1">
      <c r="C151" s="97"/>
    </row>
    <row r="152" spans="3:3" hidden="1">
      <c r="C152" s="97"/>
    </row>
    <row r="153" spans="3:3" hidden="1">
      <c r="C153" s="97"/>
    </row>
    <row r="154" spans="3:3" hidden="1">
      <c r="C154" s="97"/>
    </row>
    <row r="155" spans="3:3" hidden="1">
      <c r="C155" s="97"/>
    </row>
    <row r="156" spans="3:3" hidden="1">
      <c r="C156" s="97"/>
    </row>
    <row r="157" spans="3:3" hidden="1">
      <c r="C157" s="97"/>
    </row>
    <row r="158" spans="3:3" hidden="1">
      <c r="C158" s="97"/>
    </row>
    <row r="159" spans="3:3" hidden="1">
      <c r="C159" s="97"/>
    </row>
  </sheetData>
  <mergeCells count="12">
    <mergeCell ref="C117:C129"/>
    <mergeCell ref="C2:C18"/>
    <mergeCell ref="C19:C29"/>
    <mergeCell ref="C30:C40"/>
    <mergeCell ref="C41:C57"/>
    <mergeCell ref="C58:C69"/>
    <mergeCell ref="C70:C75"/>
    <mergeCell ref="C76:C83"/>
    <mergeCell ref="C84:C90"/>
    <mergeCell ref="C91:C95"/>
    <mergeCell ref="C96:C108"/>
    <mergeCell ref="C109:C116"/>
  </mergeCells>
  <dataValidations count="4">
    <dataValidation type="list" allowBlank="1" errorTitle="Valor no válido" error="Seleccione un valor de la lista" sqref="F2:F116" xr:uid="{0FC3E5A1-04A5-4B1B-9DE0-419408939E03}">
      <formula1>lst_Foco</formula1>
      <formula2>0</formula2>
    </dataValidation>
    <dataValidation type="list" allowBlank="1" errorTitle="Valor no válido" error="Seleccione un valor de la lista" sqref="Y2:Y116" xr:uid="{BCEEF4E8-E745-44D5-91BB-CF889A564CFA}">
      <formula1>cfg_TipoNom</formula1>
      <formula2>0</formula2>
    </dataValidation>
    <dataValidation type="list" allowBlank="1" errorTitle="Valor no válido" error="Seleccione un valor de la lista" sqref="X2:X116" xr:uid="{3CA12E0A-9D7E-4364-B2FE-3FF4B3FC1890}">
      <formula1>cfg_ConsNom</formula1>
      <formula2>0</formula2>
    </dataValidation>
    <dataValidation allowBlank="1" errorTitle="Valor no válido" error="Seleccione un valor de la lista" sqref="U1:U129 U131:U1048576" xr:uid="{4F16A067-7F7C-47DF-8A24-2937718A91F7}"/>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0"/>
  <sheetViews>
    <sheetView showGridLines="0" topLeftCell="A16" zoomScale="70" zoomScaleNormal="70" workbookViewId="0">
      <selection activeCell="L1" sqref="L1:L1048576"/>
    </sheetView>
  </sheetViews>
  <sheetFormatPr baseColWidth="10" defaultColWidth="0" defaultRowHeight="14.5" zeroHeight="1" outlineLevelCol="1"/>
  <cols>
    <col min="1" max="1" width="2.54296875" style="12" customWidth="1"/>
    <col min="2" max="2" width="33.54296875" style="12" customWidth="1"/>
    <col min="3" max="3" width="30.7265625" style="12" customWidth="1"/>
    <col min="4" max="7" width="26" style="12" customWidth="1"/>
    <col min="8" max="8" width="2.54296875" style="12" customWidth="1"/>
    <col min="9" max="9" width="36.36328125" style="12" hidden="1" customWidth="1" outlineLevel="1"/>
    <col min="10" max="11" width="12.7265625" style="12" hidden="1" customWidth="1" outlineLevel="1"/>
    <col min="12" max="12" width="12.7265625" style="12" hidden="1" customWidth="1" collapsed="1"/>
    <col min="13" max="16" width="12.7265625" style="12" hidden="1" customWidth="1"/>
    <col min="17" max="18" width="25.453125" style="12" hidden="1" customWidth="1"/>
    <col min="19" max="16384" width="0" style="12" hidden="1"/>
  </cols>
  <sheetData>
    <row r="1" spans="1:8">
      <c r="A1" s="20"/>
      <c r="B1" s="20"/>
      <c r="C1" s="20"/>
      <c r="D1" s="20"/>
      <c r="E1" s="20"/>
      <c r="F1" s="20"/>
      <c r="G1" s="20"/>
      <c r="H1" s="20"/>
    </row>
    <row r="2" spans="1:8" s="110" customFormat="1" ht="30.5" customHeight="1">
      <c r="A2" s="109"/>
      <c r="B2" s="283" t="s">
        <v>1454</v>
      </c>
      <c r="C2" s="283"/>
      <c r="D2" s="283"/>
      <c r="E2" s="283"/>
      <c r="F2" s="283"/>
      <c r="G2" s="283"/>
      <c r="H2" s="109"/>
    </row>
    <row r="3" spans="1:8" ht="8.5" customHeight="1">
      <c r="A3" s="20"/>
      <c r="B3" s="76"/>
      <c r="C3" s="20"/>
      <c r="D3" s="20"/>
      <c r="E3" s="20"/>
      <c r="F3" s="20"/>
      <c r="G3" s="20"/>
      <c r="H3" s="20"/>
    </row>
    <row r="4" spans="1:8" ht="30.5" customHeight="1">
      <c r="A4" s="20"/>
      <c r="B4" s="287" t="s">
        <v>54</v>
      </c>
      <c r="C4" s="28" t="s">
        <v>12</v>
      </c>
      <c r="D4" s="29" t="s">
        <v>14</v>
      </c>
      <c r="E4" s="46" t="s">
        <v>16</v>
      </c>
      <c r="F4" s="30" t="s">
        <v>18</v>
      </c>
      <c r="G4" s="31" t="s">
        <v>21</v>
      </c>
      <c r="H4" s="20"/>
    </row>
    <row r="5" spans="1:8" ht="25" customHeight="1">
      <c r="A5" s="20"/>
      <c r="B5" s="288"/>
      <c r="C5" s="32" t="s">
        <v>13</v>
      </c>
      <c r="D5" s="33" t="s">
        <v>15</v>
      </c>
      <c r="E5" s="34" t="s">
        <v>17</v>
      </c>
      <c r="F5" s="35" t="s">
        <v>19</v>
      </c>
      <c r="G5" s="36" t="s">
        <v>22</v>
      </c>
      <c r="H5" s="20"/>
    </row>
    <row r="6" spans="1:8" ht="95.5" customHeight="1">
      <c r="A6" s="20"/>
      <c r="B6" s="108" t="s">
        <v>716</v>
      </c>
      <c r="C6" s="77" t="s">
        <v>1394</v>
      </c>
      <c r="D6" s="77" t="s">
        <v>1395</v>
      </c>
      <c r="E6" s="77" t="s">
        <v>1396</v>
      </c>
      <c r="F6" s="77" t="s">
        <v>1397</v>
      </c>
      <c r="G6" s="77" t="s">
        <v>1398</v>
      </c>
      <c r="H6" s="20"/>
    </row>
    <row r="7" spans="1:8" ht="95.5" customHeight="1">
      <c r="A7" s="20"/>
      <c r="B7" s="108" t="s">
        <v>717</v>
      </c>
      <c r="C7" s="77" t="s">
        <v>1399</v>
      </c>
      <c r="D7" s="77" t="s">
        <v>1400</v>
      </c>
      <c r="E7" s="77" t="s">
        <v>1401</v>
      </c>
      <c r="F7" s="77" t="s">
        <v>1402</v>
      </c>
      <c r="G7" s="77" t="s">
        <v>1403</v>
      </c>
      <c r="H7" s="20"/>
    </row>
    <row r="8" spans="1:8" ht="95.5" customHeight="1">
      <c r="A8" s="20"/>
      <c r="B8" s="108" t="s">
        <v>718</v>
      </c>
      <c r="C8" s="77" t="s">
        <v>1404</v>
      </c>
      <c r="D8" s="77" t="s">
        <v>1405</v>
      </c>
      <c r="E8" s="77" t="s">
        <v>1406</v>
      </c>
      <c r="F8" s="77" t="s">
        <v>1407</v>
      </c>
      <c r="G8" s="77" t="s">
        <v>1408</v>
      </c>
      <c r="H8" s="20"/>
    </row>
    <row r="9" spans="1:8" ht="95.5" customHeight="1">
      <c r="A9" s="20"/>
      <c r="B9" s="108" t="s">
        <v>719</v>
      </c>
      <c r="C9" s="77" t="s">
        <v>1409</v>
      </c>
      <c r="D9" s="77" t="s">
        <v>1410</v>
      </c>
      <c r="E9" s="77" t="s">
        <v>1411</v>
      </c>
      <c r="F9" s="77" t="s">
        <v>1412</v>
      </c>
      <c r="G9" s="77" t="s">
        <v>1413</v>
      </c>
      <c r="H9" s="20"/>
    </row>
    <row r="10" spans="1:8" ht="95.5" customHeight="1">
      <c r="A10" s="20"/>
      <c r="B10" s="108" t="s">
        <v>720</v>
      </c>
      <c r="C10" s="77" t="s">
        <v>1414</v>
      </c>
      <c r="D10" s="77" t="s">
        <v>1415</v>
      </c>
      <c r="E10" s="77" t="s">
        <v>1416</v>
      </c>
      <c r="F10" s="77" t="s">
        <v>1417</v>
      </c>
      <c r="G10" s="77" t="s">
        <v>1418</v>
      </c>
      <c r="H10" s="20"/>
    </row>
    <row r="11" spans="1:8" ht="95.5" customHeight="1">
      <c r="A11" s="20"/>
      <c r="B11" s="108" t="s">
        <v>721</v>
      </c>
      <c r="C11" s="77" t="s">
        <v>1419</v>
      </c>
      <c r="D11" s="77" t="s">
        <v>1420</v>
      </c>
      <c r="E11" s="77" t="s">
        <v>1421</v>
      </c>
      <c r="F11" s="77" t="s">
        <v>1422</v>
      </c>
      <c r="G11" s="77" t="s">
        <v>1423</v>
      </c>
      <c r="H11" s="20"/>
    </row>
    <row r="12" spans="1:8" ht="95.5" customHeight="1">
      <c r="A12" s="20"/>
      <c r="B12" s="108" t="s">
        <v>722</v>
      </c>
      <c r="C12" s="77" t="s">
        <v>1424</v>
      </c>
      <c r="D12" s="77" t="s">
        <v>1425</v>
      </c>
      <c r="E12" s="77" t="s">
        <v>1426</v>
      </c>
      <c r="F12" s="77" t="s">
        <v>1427</v>
      </c>
      <c r="G12" s="77" t="s">
        <v>1428</v>
      </c>
      <c r="H12" s="20"/>
    </row>
    <row r="13" spans="1:8" ht="95.5" customHeight="1">
      <c r="A13" s="20"/>
      <c r="B13" s="108" t="s">
        <v>723</v>
      </c>
      <c r="C13" s="77" t="s">
        <v>1429</v>
      </c>
      <c r="D13" s="77" t="s">
        <v>1430</v>
      </c>
      <c r="E13" s="77" t="s">
        <v>1431</v>
      </c>
      <c r="F13" s="77" t="s">
        <v>1432</v>
      </c>
      <c r="G13" s="77" t="s">
        <v>1433</v>
      </c>
      <c r="H13" s="20"/>
    </row>
    <row r="14" spans="1:8" ht="95.5" customHeight="1">
      <c r="A14" s="20"/>
      <c r="B14" s="108" t="s">
        <v>724</v>
      </c>
      <c r="C14" s="77" t="s">
        <v>1434</v>
      </c>
      <c r="D14" s="77" t="s">
        <v>1435</v>
      </c>
      <c r="E14" s="77" t="s">
        <v>1436</v>
      </c>
      <c r="F14" s="77" t="s">
        <v>1437</v>
      </c>
      <c r="G14" s="77" t="s">
        <v>1438</v>
      </c>
      <c r="H14" s="20"/>
    </row>
    <row r="15" spans="1:8" ht="95.5" customHeight="1">
      <c r="A15" s="20"/>
      <c r="B15" s="108" t="s">
        <v>725</v>
      </c>
      <c r="C15" s="77" t="s">
        <v>1439</v>
      </c>
      <c r="D15" s="77" t="s">
        <v>1440</v>
      </c>
      <c r="E15" s="77" t="s">
        <v>1441</v>
      </c>
      <c r="F15" s="77" t="s">
        <v>1442</v>
      </c>
      <c r="G15" s="77" t="s">
        <v>1443</v>
      </c>
      <c r="H15" s="20"/>
    </row>
    <row r="16" spans="1:8" ht="95.5" customHeight="1">
      <c r="A16" s="20"/>
      <c r="B16" s="108" t="s">
        <v>726</v>
      </c>
      <c r="C16" s="77" t="s">
        <v>1444</v>
      </c>
      <c r="D16" s="77" t="s">
        <v>1445</v>
      </c>
      <c r="E16" s="77" t="s">
        <v>1446</v>
      </c>
      <c r="F16" s="77" t="s">
        <v>1447</v>
      </c>
      <c r="G16" s="77" t="s">
        <v>1448</v>
      </c>
      <c r="H16" s="20"/>
    </row>
    <row r="17" spans="1:18" ht="95.5" customHeight="1">
      <c r="A17" s="20"/>
      <c r="B17" s="108" t="s">
        <v>1393</v>
      </c>
      <c r="C17" s="77" t="s">
        <v>1449</v>
      </c>
      <c r="D17" s="77" t="s">
        <v>1450</v>
      </c>
      <c r="E17" s="77" t="s">
        <v>1451</v>
      </c>
      <c r="F17" s="77" t="s">
        <v>1452</v>
      </c>
      <c r="G17" s="77" t="s">
        <v>1453</v>
      </c>
      <c r="H17" s="20"/>
    </row>
    <row r="18" spans="1:18" ht="8.5" customHeight="1">
      <c r="A18" s="20"/>
      <c r="B18" s="76"/>
      <c r="C18" s="20"/>
      <c r="D18" s="20"/>
      <c r="E18" s="20"/>
      <c r="F18" s="20"/>
      <c r="G18" s="20"/>
      <c r="H18" s="20"/>
    </row>
    <row r="19" spans="1:18" s="110" customFormat="1" ht="30.5" customHeight="1">
      <c r="A19" s="109"/>
      <c r="B19" s="283" t="s">
        <v>1455</v>
      </c>
      <c r="C19" s="283"/>
      <c r="D19" s="283"/>
      <c r="E19" s="283"/>
      <c r="F19" s="283"/>
      <c r="G19" s="283"/>
      <c r="H19" s="109"/>
      <c r="I19" s="377" t="s">
        <v>1493</v>
      </c>
    </row>
    <row r="20" spans="1:18" ht="8.5" customHeight="1">
      <c r="A20" s="20"/>
      <c r="B20" s="76"/>
      <c r="C20" s="20"/>
      <c r="D20" s="20"/>
      <c r="E20" s="20"/>
      <c r="F20" s="20"/>
      <c r="G20" s="20"/>
      <c r="H20" s="20"/>
      <c r="I20" s="378" t="s">
        <v>1483</v>
      </c>
      <c r="J20" s="378" t="s">
        <v>1484</v>
      </c>
      <c r="K20" s="378" t="s">
        <v>1485</v>
      </c>
      <c r="L20" s="379"/>
      <c r="M20" s="379"/>
      <c r="N20" s="379"/>
      <c r="O20" s="379"/>
      <c r="P20" s="379"/>
      <c r="Q20" s="379"/>
      <c r="R20" s="379"/>
    </row>
    <row r="21" spans="1:18" ht="51" customHeight="1">
      <c r="A21" s="20"/>
      <c r="B21" s="37" t="s">
        <v>12</v>
      </c>
      <c r="C21" s="38" t="s">
        <v>1456</v>
      </c>
      <c r="D21" s="284" t="s">
        <v>1457</v>
      </c>
      <c r="E21" s="285"/>
      <c r="F21" s="285"/>
      <c r="G21" s="286"/>
      <c r="H21" s="20"/>
      <c r="I21" s="380" t="str">
        <f>C21</f>
        <v>Inicial / Reactivo</v>
      </c>
      <c r="J21" s="381">
        <v>0.39</v>
      </c>
      <c r="K21" s="382" t="s">
        <v>1486</v>
      </c>
      <c r="L21" s="379"/>
      <c r="M21" s="379"/>
      <c r="N21" s="379"/>
      <c r="O21" s="379"/>
      <c r="P21" s="379"/>
      <c r="Q21" s="379"/>
      <c r="R21" s="379"/>
    </row>
    <row r="22" spans="1:18" ht="51" customHeight="1">
      <c r="A22" s="20"/>
      <c r="B22" s="39" t="s">
        <v>14</v>
      </c>
      <c r="C22" s="40" t="s">
        <v>15</v>
      </c>
      <c r="D22" s="284" t="s">
        <v>1458</v>
      </c>
      <c r="E22" s="285"/>
      <c r="F22" s="285"/>
      <c r="G22" s="286"/>
      <c r="H22" s="20"/>
      <c r="I22" s="380" t="str">
        <f>C22</f>
        <v>Dependiente</v>
      </c>
      <c r="J22" s="381">
        <v>0.59</v>
      </c>
      <c r="K22" s="383" t="s">
        <v>1487</v>
      </c>
      <c r="L22" s="379"/>
      <c r="M22" s="379"/>
      <c r="N22" s="379"/>
      <c r="O22" s="379"/>
      <c r="P22" s="379"/>
      <c r="Q22" s="379"/>
      <c r="R22" s="379"/>
    </row>
    <row r="23" spans="1:18" ht="51" customHeight="1">
      <c r="A23" s="20"/>
      <c r="B23" s="41" t="s">
        <v>16</v>
      </c>
      <c r="C23" s="42" t="s">
        <v>17</v>
      </c>
      <c r="D23" s="284" t="s">
        <v>1459</v>
      </c>
      <c r="E23" s="285"/>
      <c r="F23" s="285"/>
      <c r="G23" s="286"/>
      <c r="H23" s="20"/>
      <c r="I23" s="380" t="str">
        <f>C23</f>
        <v>Independiente</v>
      </c>
      <c r="J23" s="381">
        <v>0.79</v>
      </c>
      <c r="K23" s="384" t="s">
        <v>1488</v>
      </c>
      <c r="L23" s="379"/>
      <c r="M23" s="379"/>
      <c r="N23" s="379"/>
      <c r="O23" s="379"/>
      <c r="P23" s="379"/>
      <c r="Q23" s="379"/>
      <c r="R23" s="379"/>
    </row>
    <row r="24" spans="1:18" ht="51" customHeight="1">
      <c r="A24" s="20"/>
      <c r="B24" s="43" t="s">
        <v>18</v>
      </c>
      <c r="C24" s="43" t="s">
        <v>19</v>
      </c>
      <c r="D24" s="284" t="s">
        <v>1460</v>
      </c>
      <c r="E24" s="285"/>
      <c r="F24" s="285"/>
      <c r="G24" s="286"/>
      <c r="H24" s="20"/>
      <c r="I24" s="380" t="str">
        <f>C24</f>
        <v>Interdependiente</v>
      </c>
      <c r="J24" s="381">
        <v>0.99</v>
      </c>
      <c r="K24" s="385" t="s">
        <v>1489</v>
      </c>
      <c r="L24" s="379"/>
      <c r="M24" s="379"/>
      <c r="N24" s="379"/>
      <c r="O24" s="379"/>
      <c r="P24" s="379"/>
      <c r="Q24" s="379"/>
      <c r="R24" s="379"/>
    </row>
    <row r="25" spans="1:18" ht="51" customHeight="1">
      <c r="A25" s="20"/>
      <c r="B25" s="44" t="s">
        <v>21</v>
      </c>
      <c r="C25" s="45" t="s">
        <v>22</v>
      </c>
      <c r="D25" s="284" t="s">
        <v>1461</v>
      </c>
      <c r="E25" s="285"/>
      <c r="F25" s="285"/>
      <c r="G25" s="286"/>
      <c r="H25" s="20"/>
      <c r="I25" s="380" t="str">
        <f>C25</f>
        <v>Predictivo</v>
      </c>
      <c r="J25" s="381">
        <v>1</v>
      </c>
      <c r="K25" s="386" t="s">
        <v>1490</v>
      </c>
      <c r="L25" s="379"/>
      <c r="M25" s="379"/>
      <c r="N25" s="379"/>
      <c r="O25" s="379"/>
      <c r="P25" s="379"/>
      <c r="Q25" s="379"/>
      <c r="R25" s="379"/>
    </row>
    <row r="26" spans="1:18">
      <c r="A26" s="20"/>
      <c r="B26" s="20"/>
      <c r="C26" s="20"/>
      <c r="D26" s="20"/>
      <c r="E26" s="20"/>
      <c r="F26" s="20"/>
      <c r="G26" s="20"/>
      <c r="H26" s="20"/>
      <c r="I26" s="379"/>
      <c r="J26" s="379"/>
      <c r="K26" s="379"/>
      <c r="L26" s="379"/>
      <c r="M26" s="379"/>
      <c r="N26" s="379"/>
      <c r="O26" s="379"/>
      <c r="P26" s="379"/>
      <c r="Q26" s="379"/>
      <c r="R26" s="379"/>
    </row>
    <row r="27" spans="1:18" hidden="1">
      <c r="I27"/>
      <c r="J27"/>
      <c r="K27"/>
      <c r="L27"/>
      <c r="M27"/>
      <c r="N27"/>
      <c r="O27"/>
      <c r="P27"/>
      <c r="Q27"/>
      <c r="R27"/>
    </row>
    <row r="28" spans="1:18" hidden="1">
      <c r="I28"/>
      <c r="J28"/>
      <c r="K28"/>
      <c r="L28"/>
      <c r="M28"/>
      <c r="N28"/>
      <c r="O28"/>
      <c r="P28"/>
      <c r="Q28"/>
      <c r="R28"/>
    </row>
    <row r="29" spans="1:18" hidden="1">
      <c r="I29"/>
      <c r="J29"/>
      <c r="K29"/>
      <c r="L29"/>
      <c r="M29"/>
      <c r="N29"/>
      <c r="O29"/>
      <c r="P29"/>
      <c r="Q29"/>
      <c r="R29"/>
    </row>
    <row r="30" spans="1:18" hidden="1">
      <c r="I30"/>
      <c r="J30"/>
      <c r="K30"/>
      <c r="L30"/>
      <c r="M30"/>
      <c r="N30"/>
      <c r="O30"/>
      <c r="P30"/>
      <c r="Q30"/>
      <c r="R30"/>
    </row>
    <row r="31" spans="1:18" hidden="1">
      <c r="I31"/>
      <c r="J31"/>
      <c r="K31"/>
      <c r="L31"/>
      <c r="M31"/>
      <c r="N31"/>
      <c r="O31"/>
      <c r="P31"/>
      <c r="Q31"/>
      <c r="R31"/>
    </row>
    <row r="32" spans="1:18" hidden="1">
      <c r="I32"/>
      <c r="J32"/>
      <c r="K32"/>
      <c r="L32"/>
      <c r="M32"/>
      <c r="N32"/>
      <c r="O32"/>
      <c r="P32"/>
      <c r="Q32"/>
      <c r="R32"/>
    </row>
    <row r="33" spans="9:18" hidden="1">
      <c r="I33"/>
      <c r="J33"/>
      <c r="K33"/>
      <c r="L33"/>
      <c r="M33"/>
      <c r="N33"/>
      <c r="O33"/>
      <c r="P33"/>
      <c r="Q33"/>
      <c r="R33"/>
    </row>
    <row r="34" spans="9:18" hidden="1">
      <c r="I34"/>
      <c r="J34"/>
      <c r="K34"/>
      <c r="L34"/>
      <c r="M34"/>
      <c r="N34"/>
      <c r="O34"/>
      <c r="P34"/>
      <c r="Q34"/>
      <c r="R34"/>
    </row>
    <row r="35" spans="9:18" hidden="1">
      <c r="I35"/>
      <c r="J35"/>
      <c r="K35"/>
      <c r="L35"/>
      <c r="M35"/>
      <c r="N35"/>
      <c r="O35"/>
      <c r="P35"/>
      <c r="Q35"/>
      <c r="R35"/>
    </row>
    <row r="36" spans="9:18" hidden="1">
      <c r="I36"/>
      <c r="J36"/>
      <c r="K36"/>
      <c r="L36"/>
      <c r="M36"/>
      <c r="N36"/>
      <c r="O36"/>
      <c r="P36"/>
      <c r="Q36"/>
      <c r="R36"/>
    </row>
    <row r="37" spans="9:18" hidden="1">
      <c r="I37"/>
      <c r="J37"/>
      <c r="K37"/>
      <c r="L37"/>
      <c r="M37"/>
      <c r="N37"/>
      <c r="O37"/>
      <c r="P37"/>
      <c r="Q37"/>
      <c r="R37"/>
    </row>
    <row r="38" spans="9:18" hidden="1">
      <c r="I38"/>
      <c r="J38"/>
      <c r="K38"/>
      <c r="L38"/>
      <c r="M38"/>
      <c r="N38"/>
      <c r="O38"/>
      <c r="P38"/>
      <c r="Q38"/>
      <c r="R38"/>
    </row>
    <row r="39" spans="9:18" hidden="1">
      <c r="I39"/>
      <c r="J39"/>
      <c r="K39"/>
      <c r="L39"/>
      <c r="M39"/>
      <c r="N39"/>
      <c r="O39"/>
      <c r="P39"/>
      <c r="Q39"/>
      <c r="R39"/>
    </row>
    <row r="40" spans="9:18" hidden="1">
      <c r="I40"/>
      <c r="J40"/>
      <c r="K40"/>
      <c r="L40"/>
      <c r="M40"/>
      <c r="N40"/>
      <c r="O40"/>
      <c r="P40"/>
      <c r="Q40"/>
      <c r="R40"/>
    </row>
  </sheetData>
  <mergeCells count="8">
    <mergeCell ref="B2:G2"/>
    <mergeCell ref="B19:G19"/>
    <mergeCell ref="D25:G25"/>
    <mergeCell ref="B4:B5"/>
    <mergeCell ref="D21:G21"/>
    <mergeCell ref="D22:G22"/>
    <mergeCell ref="D23:G23"/>
    <mergeCell ref="D24:G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8"/>
  <sheetViews>
    <sheetView showGridLines="0" zoomScaleNormal="100" workbookViewId="0">
      <selection activeCell="B44" sqref="B44"/>
    </sheetView>
  </sheetViews>
  <sheetFormatPr baseColWidth="10" defaultColWidth="8.6328125" defaultRowHeight="14.5"/>
  <cols>
    <col min="1" max="1" width="6" customWidth="1"/>
    <col min="2" max="6" width="45" customWidth="1"/>
  </cols>
  <sheetData>
    <row r="1" spans="1:6" ht="87">
      <c r="A1" s="94" t="s">
        <v>44</v>
      </c>
      <c r="B1" s="94" t="s">
        <v>727</v>
      </c>
      <c r="C1" s="94" t="s">
        <v>728</v>
      </c>
      <c r="D1" s="94" t="s">
        <v>729</v>
      </c>
      <c r="E1" s="94" t="s">
        <v>730</v>
      </c>
      <c r="F1" s="94" t="s">
        <v>731</v>
      </c>
    </row>
    <row r="2" spans="1:6" ht="87">
      <c r="A2" s="94" t="s">
        <v>44</v>
      </c>
      <c r="B2" s="94" t="s">
        <v>732</v>
      </c>
      <c r="C2" s="94" t="s">
        <v>733</v>
      </c>
      <c r="D2" s="94" t="s">
        <v>734</v>
      </c>
      <c r="E2" s="94" t="s">
        <v>735</v>
      </c>
      <c r="F2" s="94" t="s">
        <v>736</v>
      </c>
    </row>
    <row r="3" spans="1:6" ht="72.5">
      <c r="A3" s="94" t="s">
        <v>44</v>
      </c>
      <c r="B3" s="94" t="s">
        <v>737</v>
      </c>
      <c r="C3" s="94" t="s">
        <v>738</v>
      </c>
      <c r="D3" s="94" t="s">
        <v>739</v>
      </c>
      <c r="E3" s="94" t="s">
        <v>740</v>
      </c>
      <c r="F3" s="94" t="s">
        <v>741</v>
      </c>
    </row>
    <row r="4" spans="1:6" ht="87">
      <c r="A4" s="94" t="s">
        <v>44</v>
      </c>
      <c r="B4" s="94" t="s">
        <v>742</v>
      </c>
      <c r="C4" s="94" t="s">
        <v>743</v>
      </c>
      <c r="D4" s="94" t="s">
        <v>744</v>
      </c>
      <c r="E4" s="94" t="s">
        <v>745</v>
      </c>
      <c r="F4" s="94" t="s">
        <v>746</v>
      </c>
    </row>
    <row r="5" spans="1:6" ht="87">
      <c r="A5" s="94" t="s">
        <v>44</v>
      </c>
      <c r="B5" s="94" t="s">
        <v>747</v>
      </c>
      <c r="C5" s="94" t="s">
        <v>748</v>
      </c>
      <c r="D5" s="94" t="s">
        <v>749</v>
      </c>
      <c r="E5" s="94" t="s">
        <v>750</v>
      </c>
      <c r="F5" s="94" t="s">
        <v>751</v>
      </c>
    </row>
    <row r="6" spans="1:6" ht="72.5">
      <c r="A6" s="94" t="s">
        <v>44</v>
      </c>
      <c r="B6" s="94" t="s">
        <v>752</v>
      </c>
      <c r="C6" s="94" t="s">
        <v>753</v>
      </c>
      <c r="D6" s="94" t="s">
        <v>754</v>
      </c>
      <c r="E6" s="94" t="s">
        <v>755</v>
      </c>
      <c r="F6" s="94" t="s">
        <v>756</v>
      </c>
    </row>
    <row r="7" spans="1:6" ht="87">
      <c r="A7" s="94" t="s">
        <v>44</v>
      </c>
      <c r="B7" s="94" t="s">
        <v>757</v>
      </c>
      <c r="C7" s="94" t="s">
        <v>758</v>
      </c>
      <c r="D7" s="94" t="s">
        <v>759</v>
      </c>
      <c r="E7" s="94" t="s">
        <v>760</v>
      </c>
      <c r="F7" s="94" t="s">
        <v>761</v>
      </c>
    </row>
    <row r="8" spans="1:6" ht="87">
      <c r="A8" s="94" t="s">
        <v>44</v>
      </c>
      <c r="B8" s="94" t="s">
        <v>762</v>
      </c>
      <c r="C8" s="94" t="s">
        <v>763</v>
      </c>
      <c r="D8" s="94" t="s">
        <v>764</v>
      </c>
      <c r="E8" s="94" t="s">
        <v>765</v>
      </c>
      <c r="F8" s="94" t="s">
        <v>766</v>
      </c>
    </row>
    <row r="9" spans="1:6" ht="87">
      <c r="A9" s="94" t="s">
        <v>44</v>
      </c>
      <c r="B9" s="94" t="s">
        <v>767</v>
      </c>
      <c r="C9" s="94" t="s">
        <v>768</v>
      </c>
      <c r="D9" s="94" t="s">
        <v>769</v>
      </c>
      <c r="E9" s="94" t="s">
        <v>770</v>
      </c>
      <c r="F9" s="94" t="s">
        <v>771</v>
      </c>
    </row>
    <row r="10" spans="1:6" ht="87">
      <c r="A10" s="94" t="s">
        <v>44</v>
      </c>
      <c r="B10" s="94" t="s">
        <v>772</v>
      </c>
      <c r="C10" s="94" t="s">
        <v>773</v>
      </c>
      <c r="D10" s="94" t="s">
        <v>774</v>
      </c>
      <c r="E10" s="94" t="s">
        <v>775</v>
      </c>
      <c r="F10" s="94" t="s">
        <v>776</v>
      </c>
    </row>
    <row r="11" spans="1:6" ht="72.5">
      <c r="A11" s="94" t="s">
        <v>44</v>
      </c>
      <c r="B11" s="94" t="s">
        <v>777</v>
      </c>
      <c r="C11" s="94" t="s">
        <v>778</v>
      </c>
      <c r="D11" s="94" t="s">
        <v>779</v>
      </c>
      <c r="E11" s="94" t="s">
        <v>780</v>
      </c>
      <c r="F11" s="94" t="s">
        <v>781</v>
      </c>
    </row>
    <row r="12" spans="1:6" ht="87">
      <c r="A12" s="94" t="s">
        <v>44</v>
      </c>
      <c r="B12" s="94" t="s">
        <v>782</v>
      </c>
      <c r="C12" s="94" t="s">
        <v>783</v>
      </c>
      <c r="D12" s="94" t="s">
        <v>784</v>
      </c>
      <c r="E12" s="94" t="s">
        <v>785</v>
      </c>
      <c r="F12" s="94" t="s">
        <v>786</v>
      </c>
    </row>
    <row r="13" spans="1:6" ht="87">
      <c r="A13" s="94" t="s">
        <v>44</v>
      </c>
      <c r="B13" s="94" t="s">
        <v>787</v>
      </c>
      <c r="C13" s="94" t="s">
        <v>788</v>
      </c>
      <c r="D13" s="94" t="s">
        <v>789</v>
      </c>
      <c r="E13" s="94" t="s">
        <v>790</v>
      </c>
      <c r="F13" s="94" t="s">
        <v>791</v>
      </c>
    </row>
    <row r="14" spans="1:6" ht="87">
      <c r="A14" s="94" t="s">
        <v>44</v>
      </c>
      <c r="B14" s="94" t="s">
        <v>792</v>
      </c>
      <c r="C14" s="94" t="s">
        <v>793</v>
      </c>
      <c r="D14" s="94" t="s">
        <v>794</v>
      </c>
      <c r="E14" s="94" t="s">
        <v>795</v>
      </c>
      <c r="F14" s="94" t="s">
        <v>796</v>
      </c>
    </row>
    <row r="15" spans="1:6" ht="87">
      <c r="A15" s="94" t="s">
        <v>44</v>
      </c>
      <c r="B15" s="94" t="s">
        <v>797</v>
      </c>
      <c r="C15" s="94" t="s">
        <v>798</v>
      </c>
      <c r="D15" s="94" t="s">
        <v>799</v>
      </c>
      <c r="E15" s="94" t="s">
        <v>800</v>
      </c>
      <c r="F15" s="94" t="s">
        <v>801</v>
      </c>
    </row>
    <row r="16" spans="1:6" ht="87">
      <c r="A16" s="94" t="s">
        <v>44</v>
      </c>
      <c r="B16" s="94" t="s">
        <v>802</v>
      </c>
      <c r="C16" s="94" t="s">
        <v>803</v>
      </c>
      <c r="D16" s="94" t="s">
        <v>804</v>
      </c>
      <c r="E16" s="94" t="s">
        <v>805</v>
      </c>
      <c r="F16" s="94" t="s">
        <v>806</v>
      </c>
    </row>
    <row r="17" spans="1:6" ht="87">
      <c r="A17" s="94" t="s">
        <v>44</v>
      </c>
      <c r="B17" s="94" t="s">
        <v>807</v>
      </c>
      <c r="C17" s="94" t="s">
        <v>808</v>
      </c>
      <c r="D17" s="94" t="s">
        <v>809</v>
      </c>
      <c r="E17" s="94" t="s">
        <v>810</v>
      </c>
      <c r="F17" s="94" t="s">
        <v>811</v>
      </c>
    </row>
    <row r="18" spans="1:6" ht="87">
      <c r="A18" s="94" t="s">
        <v>44</v>
      </c>
      <c r="B18" s="94" t="s">
        <v>812</v>
      </c>
      <c r="C18" s="94" t="s">
        <v>813</v>
      </c>
      <c r="D18" s="94" t="s">
        <v>814</v>
      </c>
      <c r="E18" s="94" t="s">
        <v>815</v>
      </c>
      <c r="F18" s="94" t="s">
        <v>816</v>
      </c>
    </row>
    <row r="19" spans="1:6" ht="87">
      <c r="A19" s="94" t="s">
        <v>44</v>
      </c>
      <c r="B19" s="94" t="s">
        <v>817</v>
      </c>
      <c r="C19" s="94" t="s">
        <v>818</v>
      </c>
      <c r="D19" s="94" t="s">
        <v>819</v>
      </c>
      <c r="E19" s="94" t="s">
        <v>820</v>
      </c>
      <c r="F19" s="94" t="s">
        <v>821</v>
      </c>
    </row>
    <row r="20" spans="1:6" ht="87">
      <c r="A20" s="94" t="s">
        <v>44</v>
      </c>
      <c r="B20" s="94" t="s">
        <v>822</v>
      </c>
      <c r="C20" s="94" t="s">
        <v>823</v>
      </c>
      <c r="D20" s="94" t="s">
        <v>824</v>
      </c>
      <c r="E20" s="94" t="s">
        <v>825</v>
      </c>
      <c r="F20" s="94" t="s">
        <v>826</v>
      </c>
    </row>
    <row r="21" spans="1:6" ht="87">
      <c r="A21" s="94" t="s">
        <v>44</v>
      </c>
      <c r="B21" s="94" t="s">
        <v>827</v>
      </c>
      <c r="C21" s="94" t="s">
        <v>828</v>
      </c>
      <c r="D21" s="94" t="s">
        <v>829</v>
      </c>
      <c r="E21" s="94" t="s">
        <v>830</v>
      </c>
      <c r="F21" s="94" t="s">
        <v>831</v>
      </c>
    </row>
    <row r="22" spans="1:6" ht="72.5">
      <c r="A22" s="94" t="s">
        <v>44</v>
      </c>
      <c r="B22" s="94" t="s">
        <v>832</v>
      </c>
      <c r="C22" s="94" t="s">
        <v>833</v>
      </c>
      <c r="D22" s="94" t="s">
        <v>834</v>
      </c>
      <c r="E22" s="94" t="s">
        <v>835</v>
      </c>
      <c r="F22" s="94" t="s">
        <v>836</v>
      </c>
    </row>
    <row r="23" spans="1:6" ht="72.5">
      <c r="A23" s="94" t="s">
        <v>44</v>
      </c>
      <c r="B23" s="94" t="s">
        <v>837</v>
      </c>
      <c r="C23" s="94" t="s">
        <v>838</v>
      </c>
      <c r="D23" s="94" t="s">
        <v>839</v>
      </c>
      <c r="E23" s="94" t="s">
        <v>840</v>
      </c>
      <c r="F23" s="94" t="s">
        <v>841</v>
      </c>
    </row>
    <row r="24" spans="1:6" ht="87">
      <c r="A24" s="94" t="s">
        <v>44</v>
      </c>
      <c r="B24" s="94" t="s">
        <v>842</v>
      </c>
      <c r="C24" s="94" t="s">
        <v>843</v>
      </c>
      <c r="D24" s="94" t="s">
        <v>844</v>
      </c>
      <c r="E24" s="94" t="s">
        <v>845</v>
      </c>
      <c r="F24" s="94" t="s">
        <v>846</v>
      </c>
    </row>
    <row r="25" spans="1:6" ht="87">
      <c r="A25" s="94" t="s">
        <v>44</v>
      </c>
      <c r="B25" s="94" t="s">
        <v>847</v>
      </c>
      <c r="C25" s="94" t="s">
        <v>848</v>
      </c>
      <c r="D25" s="94" t="s">
        <v>849</v>
      </c>
      <c r="E25" s="94" t="s">
        <v>850</v>
      </c>
      <c r="F25" s="94" t="s">
        <v>851</v>
      </c>
    </row>
    <row r="26" spans="1:6" ht="72.5">
      <c r="A26" s="94" t="s">
        <v>44</v>
      </c>
      <c r="B26" s="94" t="s">
        <v>852</v>
      </c>
      <c r="C26" s="94" t="s">
        <v>853</v>
      </c>
      <c r="D26" s="94" t="s">
        <v>854</v>
      </c>
      <c r="E26" s="94" t="s">
        <v>855</v>
      </c>
      <c r="F26" s="94" t="s">
        <v>856</v>
      </c>
    </row>
    <row r="27" spans="1:6" ht="87">
      <c r="A27" s="94" t="s">
        <v>44</v>
      </c>
      <c r="B27" s="94" t="s">
        <v>857</v>
      </c>
      <c r="C27" s="94" t="s">
        <v>858</v>
      </c>
      <c r="D27" s="94" t="s">
        <v>859</v>
      </c>
      <c r="E27" s="94" t="s">
        <v>860</v>
      </c>
      <c r="F27" s="94" t="s">
        <v>861</v>
      </c>
    </row>
    <row r="28" spans="1:6" ht="87">
      <c r="A28" s="94" t="s">
        <v>44</v>
      </c>
      <c r="B28" s="94" t="s">
        <v>862</v>
      </c>
      <c r="C28" s="94" t="s">
        <v>863</v>
      </c>
      <c r="D28" s="94" t="s">
        <v>864</v>
      </c>
      <c r="E28" s="94" t="s">
        <v>865</v>
      </c>
      <c r="F28" s="94" t="s">
        <v>866</v>
      </c>
    </row>
    <row r="29" spans="1:6" ht="87">
      <c r="A29" s="94" t="s">
        <v>44</v>
      </c>
      <c r="B29" s="94" t="s">
        <v>867</v>
      </c>
      <c r="C29" s="94" t="s">
        <v>868</v>
      </c>
      <c r="D29" s="94" t="s">
        <v>869</v>
      </c>
      <c r="E29" s="94" t="s">
        <v>870</v>
      </c>
      <c r="F29" s="94" t="s">
        <v>871</v>
      </c>
    </row>
    <row r="30" spans="1:6" ht="72.5">
      <c r="A30" s="94" t="s">
        <v>44</v>
      </c>
      <c r="B30" s="94" t="s">
        <v>872</v>
      </c>
      <c r="C30" s="94" t="s">
        <v>873</v>
      </c>
      <c r="D30" s="94" t="s">
        <v>874</v>
      </c>
      <c r="E30" s="94" t="s">
        <v>875</v>
      </c>
      <c r="F30" s="94" t="s">
        <v>876</v>
      </c>
    </row>
    <row r="31" spans="1:6" ht="72.5">
      <c r="A31" s="94" t="s">
        <v>44</v>
      </c>
      <c r="B31" s="94" t="s">
        <v>877</v>
      </c>
      <c r="C31" s="94" t="s">
        <v>878</v>
      </c>
      <c r="D31" s="94" t="s">
        <v>879</v>
      </c>
      <c r="E31" s="94" t="s">
        <v>880</v>
      </c>
      <c r="F31" s="94" t="s">
        <v>881</v>
      </c>
    </row>
    <row r="32" spans="1:6" ht="87">
      <c r="A32" s="94" t="s">
        <v>44</v>
      </c>
      <c r="B32" s="94" t="s">
        <v>882</v>
      </c>
      <c r="C32" s="94" t="s">
        <v>883</v>
      </c>
      <c r="D32" s="94" t="s">
        <v>884</v>
      </c>
      <c r="E32" s="94" t="s">
        <v>885</v>
      </c>
      <c r="F32" s="94" t="s">
        <v>886</v>
      </c>
    </row>
    <row r="33" spans="1:6" ht="87">
      <c r="A33" s="94" t="s">
        <v>44</v>
      </c>
      <c r="B33" s="94" t="s">
        <v>887</v>
      </c>
      <c r="C33" s="94" t="s">
        <v>888</v>
      </c>
      <c r="D33" s="94" t="s">
        <v>889</v>
      </c>
      <c r="E33" s="94" t="s">
        <v>890</v>
      </c>
      <c r="F33" s="94" t="s">
        <v>891</v>
      </c>
    </row>
    <row r="34" spans="1:6" ht="87">
      <c r="A34" s="94" t="s">
        <v>44</v>
      </c>
      <c r="B34" s="94" t="s">
        <v>892</v>
      </c>
      <c r="C34" s="94" t="s">
        <v>893</v>
      </c>
      <c r="D34" s="94" t="s">
        <v>894</v>
      </c>
      <c r="E34" s="94" t="s">
        <v>895</v>
      </c>
      <c r="F34" s="94" t="s">
        <v>896</v>
      </c>
    </row>
    <row r="35" spans="1:6" ht="72.5">
      <c r="A35" s="94" t="s">
        <v>44</v>
      </c>
      <c r="B35" s="94" t="s">
        <v>897</v>
      </c>
      <c r="C35" s="94" t="s">
        <v>898</v>
      </c>
      <c r="D35" s="94" t="s">
        <v>899</v>
      </c>
      <c r="E35" s="94" t="s">
        <v>900</v>
      </c>
      <c r="F35" s="94" t="s">
        <v>901</v>
      </c>
    </row>
    <row r="36" spans="1:6" ht="72.5">
      <c r="A36" s="94" t="s">
        <v>44</v>
      </c>
      <c r="B36" s="94" t="s">
        <v>902</v>
      </c>
      <c r="C36" s="94" t="s">
        <v>903</v>
      </c>
      <c r="D36" s="94" t="s">
        <v>904</v>
      </c>
      <c r="E36" s="94" t="s">
        <v>905</v>
      </c>
      <c r="F36" s="94" t="s">
        <v>906</v>
      </c>
    </row>
    <row r="37" spans="1:6" ht="72.5">
      <c r="A37" s="94" t="s">
        <v>44</v>
      </c>
      <c r="B37" s="94" t="s">
        <v>907</v>
      </c>
      <c r="C37" s="94" t="s">
        <v>908</v>
      </c>
      <c r="D37" s="94" t="s">
        <v>909</v>
      </c>
      <c r="E37" s="94" t="s">
        <v>910</v>
      </c>
      <c r="F37" s="94" t="s">
        <v>911</v>
      </c>
    </row>
    <row r="38" spans="1:6" ht="72.5">
      <c r="A38" s="94" t="s">
        <v>44</v>
      </c>
      <c r="B38" s="94" t="s">
        <v>912</v>
      </c>
      <c r="C38" s="94" t="s">
        <v>913</v>
      </c>
      <c r="D38" s="94" t="s">
        <v>914</v>
      </c>
      <c r="E38" s="94" t="s">
        <v>915</v>
      </c>
      <c r="F38" s="94" t="s">
        <v>916</v>
      </c>
    </row>
    <row r="39" spans="1:6" ht="72.5">
      <c r="A39" s="94" t="s">
        <v>44</v>
      </c>
      <c r="B39" s="94" t="s">
        <v>917</v>
      </c>
      <c r="C39" s="94" t="s">
        <v>918</v>
      </c>
      <c r="D39" s="94" t="s">
        <v>919</v>
      </c>
      <c r="E39" s="94" t="s">
        <v>920</v>
      </c>
      <c r="F39" s="94" t="s">
        <v>921</v>
      </c>
    </row>
    <row r="40" spans="1:6" ht="87">
      <c r="A40" s="94" t="s">
        <v>44</v>
      </c>
      <c r="B40" s="94" t="s">
        <v>922</v>
      </c>
      <c r="C40" s="94" t="s">
        <v>923</v>
      </c>
      <c r="D40" s="94" t="s">
        <v>924</v>
      </c>
      <c r="E40" s="94" t="s">
        <v>925</v>
      </c>
      <c r="F40" s="94" t="s">
        <v>926</v>
      </c>
    </row>
    <row r="41" spans="1:6" ht="87">
      <c r="A41" s="94" t="s">
        <v>44</v>
      </c>
      <c r="B41" s="94" t="s">
        <v>927</v>
      </c>
      <c r="C41" s="94" t="s">
        <v>928</v>
      </c>
      <c r="D41" s="94" t="s">
        <v>929</v>
      </c>
      <c r="E41" s="94" t="s">
        <v>930</v>
      </c>
      <c r="F41" s="94" t="s">
        <v>931</v>
      </c>
    </row>
    <row r="42" spans="1:6" ht="87">
      <c r="A42" s="94" t="s">
        <v>44</v>
      </c>
      <c r="B42" s="94" t="s">
        <v>932</v>
      </c>
      <c r="C42" s="94" t="s">
        <v>933</v>
      </c>
      <c r="D42" s="94" t="s">
        <v>934</v>
      </c>
      <c r="E42" s="94" t="s">
        <v>935</v>
      </c>
      <c r="F42" s="94" t="s">
        <v>936</v>
      </c>
    </row>
    <row r="43" spans="1:6" ht="87">
      <c r="A43" s="94" t="s">
        <v>44</v>
      </c>
      <c r="B43" s="94" t="s">
        <v>937</v>
      </c>
      <c r="C43" s="94" t="s">
        <v>938</v>
      </c>
      <c r="D43" s="94" t="s">
        <v>939</v>
      </c>
      <c r="E43" s="94" t="s">
        <v>940</v>
      </c>
      <c r="F43" s="94" t="s">
        <v>941</v>
      </c>
    </row>
    <row r="44" spans="1:6" ht="87">
      <c r="A44" s="94" t="s">
        <v>44</v>
      </c>
      <c r="B44" s="94" t="s">
        <v>942</v>
      </c>
      <c r="C44" s="94" t="s">
        <v>943</v>
      </c>
      <c r="D44" s="94" t="s">
        <v>944</v>
      </c>
      <c r="E44" s="94" t="s">
        <v>945</v>
      </c>
      <c r="F44" s="94" t="s">
        <v>946</v>
      </c>
    </row>
    <row r="45" spans="1:6" ht="87">
      <c r="A45" s="94" t="s">
        <v>44</v>
      </c>
      <c r="B45" s="94" t="s">
        <v>947</v>
      </c>
      <c r="C45" s="94" t="s">
        <v>948</v>
      </c>
      <c r="D45" s="94" t="s">
        <v>949</v>
      </c>
      <c r="E45" s="94" t="s">
        <v>950</v>
      </c>
      <c r="F45" s="94" t="s">
        <v>951</v>
      </c>
    </row>
    <row r="46" spans="1:6" ht="87">
      <c r="A46" s="94" t="s">
        <v>44</v>
      </c>
      <c r="B46" s="94" t="s">
        <v>952</v>
      </c>
      <c r="C46" s="94" t="s">
        <v>953</v>
      </c>
      <c r="D46" s="94" t="s">
        <v>954</v>
      </c>
      <c r="E46" s="94" t="s">
        <v>955</v>
      </c>
      <c r="F46" s="94" t="s">
        <v>956</v>
      </c>
    </row>
    <row r="47" spans="1:6" ht="87">
      <c r="A47" s="94" t="s">
        <v>44</v>
      </c>
      <c r="B47" s="94" t="s">
        <v>957</v>
      </c>
      <c r="C47" s="94" t="s">
        <v>958</v>
      </c>
      <c r="D47" s="94" t="s">
        <v>959</v>
      </c>
      <c r="E47" s="94" t="s">
        <v>960</v>
      </c>
      <c r="F47" s="94" t="s">
        <v>961</v>
      </c>
    </row>
    <row r="48" spans="1:6" ht="87">
      <c r="A48" s="94" t="s">
        <v>44</v>
      </c>
      <c r="B48" s="94" t="s">
        <v>962</v>
      </c>
      <c r="C48" s="94" t="s">
        <v>963</v>
      </c>
      <c r="D48" s="94" t="s">
        <v>964</v>
      </c>
      <c r="E48" s="94" t="s">
        <v>965</v>
      </c>
      <c r="F48" s="94" t="s">
        <v>966</v>
      </c>
    </row>
    <row r="49" spans="1:6" ht="87">
      <c r="A49" s="94" t="s">
        <v>44</v>
      </c>
      <c r="B49" s="94" t="s">
        <v>967</v>
      </c>
      <c r="C49" s="94" t="s">
        <v>968</v>
      </c>
      <c r="D49" s="94" t="s">
        <v>969</v>
      </c>
      <c r="E49" s="94" t="s">
        <v>970</v>
      </c>
      <c r="F49" s="94" t="s">
        <v>971</v>
      </c>
    </row>
    <row r="50" spans="1:6" ht="87">
      <c r="A50" s="94" t="s">
        <v>44</v>
      </c>
      <c r="B50" s="94" t="s">
        <v>972</v>
      </c>
      <c r="C50" s="94" t="s">
        <v>973</v>
      </c>
      <c r="D50" s="94" t="s">
        <v>974</v>
      </c>
      <c r="E50" s="94" t="s">
        <v>975</v>
      </c>
      <c r="F50" s="94" t="s">
        <v>976</v>
      </c>
    </row>
    <row r="51" spans="1:6" ht="72.5">
      <c r="A51" s="94" t="s">
        <v>44</v>
      </c>
      <c r="B51" s="94" t="s">
        <v>977</v>
      </c>
      <c r="C51" s="94" t="s">
        <v>978</v>
      </c>
      <c r="D51" s="94" t="s">
        <v>979</v>
      </c>
      <c r="E51" s="94" t="s">
        <v>980</v>
      </c>
      <c r="F51" s="94" t="s">
        <v>981</v>
      </c>
    </row>
    <row r="52" spans="1:6" ht="87">
      <c r="A52" s="94" t="s">
        <v>44</v>
      </c>
      <c r="B52" s="94" t="s">
        <v>982</v>
      </c>
      <c r="C52" s="94" t="s">
        <v>983</v>
      </c>
      <c r="D52" s="94" t="s">
        <v>984</v>
      </c>
      <c r="E52" s="94" t="s">
        <v>985</v>
      </c>
      <c r="F52" s="94" t="s">
        <v>986</v>
      </c>
    </row>
    <row r="53" spans="1:6" ht="87">
      <c r="A53" s="94" t="s">
        <v>44</v>
      </c>
      <c r="B53" s="94" t="s">
        <v>987</v>
      </c>
      <c r="C53" s="94" t="s">
        <v>988</v>
      </c>
      <c r="D53" s="94" t="s">
        <v>989</v>
      </c>
      <c r="E53" s="94" t="s">
        <v>990</v>
      </c>
      <c r="F53" s="94" t="s">
        <v>991</v>
      </c>
    </row>
    <row r="54" spans="1:6" ht="87">
      <c r="A54" s="94" t="s">
        <v>44</v>
      </c>
      <c r="B54" s="94" t="s">
        <v>992</v>
      </c>
      <c r="C54" s="94" t="s">
        <v>993</v>
      </c>
      <c r="D54" s="94" t="s">
        <v>994</v>
      </c>
      <c r="E54" s="94" t="s">
        <v>995</v>
      </c>
      <c r="F54" s="94" t="s">
        <v>996</v>
      </c>
    </row>
    <row r="55" spans="1:6" ht="72.5">
      <c r="A55" s="94" t="s">
        <v>44</v>
      </c>
      <c r="B55" s="94" t="s">
        <v>997</v>
      </c>
      <c r="C55" s="94" t="s">
        <v>998</v>
      </c>
      <c r="D55" s="94" t="s">
        <v>999</v>
      </c>
      <c r="E55" s="94" t="s">
        <v>1000</v>
      </c>
      <c r="F55" s="94" t="s">
        <v>1001</v>
      </c>
    </row>
    <row r="56" spans="1:6" ht="87">
      <c r="A56" s="94" t="s">
        <v>44</v>
      </c>
      <c r="B56" s="94" t="s">
        <v>1002</v>
      </c>
      <c r="C56" s="94" t="s">
        <v>1003</v>
      </c>
      <c r="D56" s="94" t="s">
        <v>1004</v>
      </c>
      <c r="E56" s="94" t="s">
        <v>1005</v>
      </c>
      <c r="F56" s="94" t="s">
        <v>1006</v>
      </c>
    </row>
    <row r="57" spans="1:6" ht="72.5">
      <c r="A57" s="94" t="s">
        <v>44</v>
      </c>
      <c r="B57" s="94" t="s">
        <v>1007</v>
      </c>
      <c r="C57" s="94" t="s">
        <v>1008</v>
      </c>
      <c r="D57" s="94" t="s">
        <v>1009</v>
      </c>
      <c r="E57" s="94" t="s">
        <v>1010</v>
      </c>
      <c r="F57" s="94" t="s">
        <v>1011</v>
      </c>
    </row>
    <row r="58" spans="1:6" ht="72.5">
      <c r="A58" s="94" t="s">
        <v>44</v>
      </c>
      <c r="B58" s="94" t="s">
        <v>1012</v>
      </c>
      <c r="C58" s="94" t="s">
        <v>1013</v>
      </c>
      <c r="D58" s="94" t="s">
        <v>1014</v>
      </c>
      <c r="E58" s="94" t="s">
        <v>1015</v>
      </c>
      <c r="F58" s="94" t="s">
        <v>1016</v>
      </c>
    </row>
    <row r="59" spans="1:6" ht="72.5">
      <c r="A59" s="94" t="s">
        <v>44</v>
      </c>
      <c r="B59" s="94" t="s">
        <v>1017</v>
      </c>
      <c r="C59" s="94" t="s">
        <v>1018</v>
      </c>
      <c r="D59" s="94" t="s">
        <v>1019</v>
      </c>
      <c r="E59" s="94" t="s">
        <v>1020</v>
      </c>
      <c r="F59" s="94" t="s">
        <v>1021</v>
      </c>
    </row>
    <row r="60" spans="1:6" ht="72.5">
      <c r="A60" s="94" t="s">
        <v>44</v>
      </c>
      <c r="B60" s="94" t="s">
        <v>1022</v>
      </c>
      <c r="C60" s="94" t="s">
        <v>1023</v>
      </c>
      <c r="D60" s="94" t="s">
        <v>1024</v>
      </c>
      <c r="E60" s="94" t="s">
        <v>1025</v>
      </c>
      <c r="F60" s="94" t="s">
        <v>1026</v>
      </c>
    </row>
    <row r="61" spans="1:6" ht="87">
      <c r="A61" s="94" t="s">
        <v>44</v>
      </c>
      <c r="B61" s="94" t="s">
        <v>1027</v>
      </c>
      <c r="C61" s="94" t="s">
        <v>1028</v>
      </c>
      <c r="D61" s="94" t="s">
        <v>1029</v>
      </c>
      <c r="E61" s="94" t="s">
        <v>1030</v>
      </c>
      <c r="F61" s="94" t="s">
        <v>1031</v>
      </c>
    </row>
    <row r="62" spans="1:6" ht="87">
      <c r="A62" s="94" t="s">
        <v>44</v>
      </c>
      <c r="B62" s="94" t="s">
        <v>1032</v>
      </c>
      <c r="C62" s="94" t="s">
        <v>1033</v>
      </c>
      <c r="D62" s="94" t="s">
        <v>1034</v>
      </c>
      <c r="E62" s="94" t="s">
        <v>1035</v>
      </c>
      <c r="F62" s="94" t="s">
        <v>1036</v>
      </c>
    </row>
    <row r="63" spans="1:6" ht="87">
      <c r="A63" s="94" t="s">
        <v>44</v>
      </c>
      <c r="B63" s="94" t="s">
        <v>1037</v>
      </c>
      <c r="C63" s="94" t="s">
        <v>1038</v>
      </c>
      <c r="D63" s="94" t="s">
        <v>1039</v>
      </c>
      <c r="E63" s="94" t="s">
        <v>1040</v>
      </c>
      <c r="F63" s="94" t="s">
        <v>1041</v>
      </c>
    </row>
    <row r="64" spans="1:6" ht="87">
      <c r="A64" s="94" t="s">
        <v>44</v>
      </c>
      <c r="B64" s="94" t="s">
        <v>1042</v>
      </c>
      <c r="C64" s="94" t="s">
        <v>1043</v>
      </c>
      <c r="D64" s="94" t="s">
        <v>1044</v>
      </c>
      <c r="E64" s="94" t="s">
        <v>1045</v>
      </c>
      <c r="F64" s="94" t="s">
        <v>1046</v>
      </c>
    </row>
    <row r="65" spans="1:6" ht="72.5">
      <c r="A65" s="94" t="s">
        <v>44</v>
      </c>
      <c r="B65" s="94" t="s">
        <v>1047</v>
      </c>
      <c r="C65" s="94" t="s">
        <v>1048</v>
      </c>
      <c r="D65" s="94" t="s">
        <v>1049</v>
      </c>
      <c r="E65" s="94" t="s">
        <v>1050</v>
      </c>
      <c r="F65" s="94" t="s">
        <v>1051</v>
      </c>
    </row>
    <row r="66" spans="1:6" ht="87">
      <c r="A66" s="94" t="s">
        <v>44</v>
      </c>
      <c r="B66" s="94" t="s">
        <v>1052</v>
      </c>
      <c r="C66" s="94" t="s">
        <v>1053</v>
      </c>
      <c r="D66" s="94" t="s">
        <v>1054</v>
      </c>
      <c r="E66" s="94" t="s">
        <v>1055</v>
      </c>
      <c r="F66" s="94" t="s">
        <v>1056</v>
      </c>
    </row>
    <row r="67" spans="1:6" ht="87">
      <c r="A67" s="94" t="s">
        <v>44</v>
      </c>
      <c r="B67" s="94" t="s">
        <v>1057</v>
      </c>
      <c r="C67" s="94" t="s">
        <v>1058</v>
      </c>
      <c r="D67" s="94" t="s">
        <v>1059</v>
      </c>
      <c r="E67" s="94" t="s">
        <v>1060</v>
      </c>
      <c r="F67" s="94" t="s">
        <v>1061</v>
      </c>
    </row>
    <row r="68" spans="1:6" ht="87">
      <c r="A68" s="94" t="s">
        <v>44</v>
      </c>
      <c r="B68" s="94" t="s">
        <v>1062</v>
      </c>
      <c r="C68" s="94" t="s">
        <v>1063</v>
      </c>
      <c r="D68" s="94" t="s">
        <v>1064</v>
      </c>
      <c r="E68" s="94" t="s">
        <v>1065</v>
      </c>
      <c r="F68" s="94" t="s">
        <v>1066</v>
      </c>
    </row>
    <row r="69" spans="1:6" ht="87">
      <c r="A69" s="94" t="s">
        <v>44</v>
      </c>
      <c r="B69" s="94" t="s">
        <v>1067</v>
      </c>
      <c r="C69" s="94" t="s">
        <v>1068</v>
      </c>
      <c r="D69" s="94" t="s">
        <v>1069</v>
      </c>
      <c r="E69" s="94" t="s">
        <v>1070</v>
      </c>
      <c r="F69" s="94" t="s">
        <v>1071</v>
      </c>
    </row>
    <row r="70" spans="1:6" ht="72.5">
      <c r="A70" s="94" t="s">
        <v>44</v>
      </c>
      <c r="B70" s="94" t="s">
        <v>1072</v>
      </c>
      <c r="C70" s="94" t="s">
        <v>1073</v>
      </c>
      <c r="D70" s="94" t="s">
        <v>1074</v>
      </c>
      <c r="E70" s="94" t="s">
        <v>1075</v>
      </c>
      <c r="F70" s="94" t="s">
        <v>1076</v>
      </c>
    </row>
    <row r="71" spans="1:6" ht="72.5">
      <c r="A71" s="94" t="s">
        <v>44</v>
      </c>
      <c r="B71" s="94" t="s">
        <v>1077</v>
      </c>
      <c r="C71" s="94" t="s">
        <v>1078</v>
      </c>
      <c r="D71" s="94" t="s">
        <v>1079</v>
      </c>
      <c r="E71" s="94" t="s">
        <v>1080</v>
      </c>
      <c r="F71" s="94" t="s">
        <v>1081</v>
      </c>
    </row>
    <row r="72" spans="1:6" ht="72.5">
      <c r="A72" s="94" t="s">
        <v>44</v>
      </c>
      <c r="B72" s="94" t="s">
        <v>1082</v>
      </c>
      <c r="C72" s="94" t="s">
        <v>1083</v>
      </c>
      <c r="D72" s="94" t="s">
        <v>1084</v>
      </c>
      <c r="E72" s="94" t="s">
        <v>1085</v>
      </c>
      <c r="F72" s="94" t="s">
        <v>1086</v>
      </c>
    </row>
    <row r="73" spans="1:6" ht="87">
      <c r="A73" s="94" t="s">
        <v>44</v>
      </c>
      <c r="B73" s="94" t="s">
        <v>1087</v>
      </c>
      <c r="C73" s="94" t="s">
        <v>1088</v>
      </c>
      <c r="D73" s="94" t="s">
        <v>1089</v>
      </c>
      <c r="E73" s="94" t="s">
        <v>1090</v>
      </c>
      <c r="F73" s="94" t="s">
        <v>1091</v>
      </c>
    </row>
    <row r="74" spans="1:6" ht="72.5">
      <c r="A74" s="94" t="s">
        <v>44</v>
      </c>
      <c r="B74" s="94" t="s">
        <v>1092</v>
      </c>
      <c r="C74" s="94" t="s">
        <v>1093</v>
      </c>
      <c r="D74" s="94" t="s">
        <v>1094</v>
      </c>
      <c r="E74" s="94" t="s">
        <v>1095</v>
      </c>
      <c r="F74" s="94" t="s">
        <v>1096</v>
      </c>
    </row>
    <row r="75" spans="1:6" ht="87">
      <c r="A75" s="94" t="s">
        <v>44</v>
      </c>
      <c r="B75" s="94" t="s">
        <v>1097</v>
      </c>
      <c r="C75" s="94" t="s">
        <v>1098</v>
      </c>
      <c r="D75" s="94" t="s">
        <v>1099</v>
      </c>
      <c r="E75" s="94" t="s">
        <v>1100</v>
      </c>
      <c r="F75" s="94" t="s">
        <v>1101</v>
      </c>
    </row>
    <row r="76" spans="1:6" ht="87">
      <c r="A76" s="94" t="s">
        <v>44</v>
      </c>
      <c r="B76" s="94" t="s">
        <v>1102</v>
      </c>
      <c r="C76" s="94" t="s">
        <v>1103</v>
      </c>
      <c r="D76" s="94" t="s">
        <v>1104</v>
      </c>
      <c r="E76" s="94" t="s">
        <v>1105</v>
      </c>
      <c r="F76" s="94" t="s">
        <v>1106</v>
      </c>
    </row>
    <row r="77" spans="1:6" ht="87">
      <c r="A77" s="94" t="s">
        <v>44</v>
      </c>
      <c r="B77" s="94" t="s">
        <v>1107</v>
      </c>
      <c r="C77" s="94" t="s">
        <v>1108</v>
      </c>
      <c r="D77" s="94" t="s">
        <v>1109</v>
      </c>
      <c r="E77" s="94" t="s">
        <v>1110</v>
      </c>
      <c r="F77" s="94" t="s">
        <v>1111</v>
      </c>
    </row>
    <row r="78" spans="1:6" ht="72.5">
      <c r="A78" s="94" t="s">
        <v>44</v>
      </c>
      <c r="B78" s="94" t="s">
        <v>1112</v>
      </c>
      <c r="C78" s="94" t="s">
        <v>1113</v>
      </c>
      <c r="D78" s="94" t="s">
        <v>1114</v>
      </c>
      <c r="E78" s="94" t="s">
        <v>1115</v>
      </c>
      <c r="F78" s="94" t="s">
        <v>1116</v>
      </c>
    </row>
    <row r="79" spans="1:6" ht="72.5">
      <c r="A79" s="94" t="s">
        <v>44</v>
      </c>
      <c r="B79" s="94" t="s">
        <v>1117</v>
      </c>
      <c r="C79" s="94" t="s">
        <v>1118</v>
      </c>
      <c r="D79" s="94" t="s">
        <v>1119</v>
      </c>
      <c r="E79" s="94" t="s">
        <v>1120</v>
      </c>
      <c r="F79" s="94" t="s">
        <v>1121</v>
      </c>
    </row>
    <row r="80" spans="1:6" ht="87">
      <c r="A80" s="94" t="s">
        <v>44</v>
      </c>
      <c r="B80" s="94" t="s">
        <v>1122</v>
      </c>
      <c r="C80" s="94" t="s">
        <v>1123</v>
      </c>
      <c r="D80" s="94" t="s">
        <v>1124</v>
      </c>
      <c r="E80" s="94" t="s">
        <v>1125</v>
      </c>
      <c r="F80" s="94" t="s">
        <v>1126</v>
      </c>
    </row>
    <row r="81" spans="1:6" ht="72.5">
      <c r="A81" s="94" t="s">
        <v>44</v>
      </c>
      <c r="B81" s="94" t="s">
        <v>1127</v>
      </c>
      <c r="C81" s="94" t="s">
        <v>1128</v>
      </c>
      <c r="D81" s="94" t="s">
        <v>1129</v>
      </c>
      <c r="E81" s="94" t="s">
        <v>1130</v>
      </c>
      <c r="F81" s="94" t="s">
        <v>1131</v>
      </c>
    </row>
    <row r="82" spans="1:6" ht="87">
      <c r="A82" s="94" t="s">
        <v>44</v>
      </c>
      <c r="B82" s="94" t="s">
        <v>1132</v>
      </c>
      <c r="C82" s="94" t="s">
        <v>1133</v>
      </c>
      <c r="D82" s="94" t="s">
        <v>1134</v>
      </c>
      <c r="E82" s="94" t="s">
        <v>1135</v>
      </c>
      <c r="F82" s="94" t="s">
        <v>1136</v>
      </c>
    </row>
    <row r="83" spans="1:6" ht="72.5">
      <c r="A83" s="94" t="s">
        <v>44</v>
      </c>
      <c r="B83" s="94" t="s">
        <v>1137</v>
      </c>
      <c r="C83" s="94" t="s">
        <v>1138</v>
      </c>
      <c r="D83" s="94" t="s">
        <v>1139</v>
      </c>
      <c r="E83" s="94" t="s">
        <v>1140</v>
      </c>
      <c r="F83" s="94" t="s">
        <v>1141</v>
      </c>
    </row>
    <row r="84" spans="1:6" ht="87">
      <c r="A84" s="94" t="s">
        <v>44</v>
      </c>
      <c r="B84" s="94" t="s">
        <v>1142</v>
      </c>
      <c r="C84" s="94" t="s">
        <v>1143</v>
      </c>
      <c r="D84" s="94" t="s">
        <v>1144</v>
      </c>
      <c r="E84" s="94" t="s">
        <v>1145</v>
      </c>
      <c r="F84" s="94" t="s">
        <v>1146</v>
      </c>
    </row>
    <row r="85" spans="1:6" ht="87">
      <c r="A85" s="94" t="s">
        <v>44</v>
      </c>
      <c r="B85" s="94" t="s">
        <v>1147</v>
      </c>
      <c r="C85" s="94" t="s">
        <v>1148</v>
      </c>
      <c r="D85" s="94" t="s">
        <v>1149</v>
      </c>
      <c r="E85" s="94" t="s">
        <v>1150</v>
      </c>
      <c r="F85" s="94" t="s">
        <v>1151</v>
      </c>
    </row>
    <row r="86" spans="1:6" ht="72.5">
      <c r="A86" s="94" t="s">
        <v>44</v>
      </c>
      <c r="B86" s="94" t="s">
        <v>1152</v>
      </c>
      <c r="C86" s="94" t="s">
        <v>1153</v>
      </c>
      <c r="D86" s="94" t="s">
        <v>1154</v>
      </c>
      <c r="E86" s="94" t="s">
        <v>1155</v>
      </c>
      <c r="F86" s="94" t="s">
        <v>1156</v>
      </c>
    </row>
    <row r="87" spans="1:6" ht="87">
      <c r="A87" s="94" t="s">
        <v>44</v>
      </c>
      <c r="B87" s="94" t="s">
        <v>1157</v>
      </c>
      <c r="C87" s="94" t="s">
        <v>1158</v>
      </c>
      <c r="D87" s="94" t="s">
        <v>1159</v>
      </c>
      <c r="E87" s="94" t="s">
        <v>1160</v>
      </c>
      <c r="F87" s="94" t="s">
        <v>1161</v>
      </c>
    </row>
    <row r="88" spans="1:6" ht="87">
      <c r="A88" s="94" t="s">
        <v>44</v>
      </c>
      <c r="B88" s="94" t="s">
        <v>1162</v>
      </c>
      <c r="C88" s="94" t="s">
        <v>1163</v>
      </c>
      <c r="D88" s="94" t="s">
        <v>1164</v>
      </c>
      <c r="E88" s="94" t="s">
        <v>1165</v>
      </c>
      <c r="F88" s="94" t="s">
        <v>1166</v>
      </c>
    </row>
    <row r="89" spans="1:6" ht="87">
      <c r="A89" s="94" t="s">
        <v>44</v>
      </c>
      <c r="B89" s="94" t="s">
        <v>1167</v>
      </c>
      <c r="C89" s="94" t="s">
        <v>1168</v>
      </c>
      <c r="D89" s="94" t="s">
        <v>1169</v>
      </c>
      <c r="E89" s="94" t="s">
        <v>1170</v>
      </c>
      <c r="F89" s="94" t="s">
        <v>1171</v>
      </c>
    </row>
    <row r="90" spans="1:6" ht="87">
      <c r="A90" s="94" t="s">
        <v>44</v>
      </c>
      <c r="B90" s="94" t="s">
        <v>1172</v>
      </c>
      <c r="C90" s="94" t="s">
        <v>1173</v>
      </c>
      <c r="D90" s="94" t="s">
        <v>1174</v>
      </c>
      <c r="E90" s="94" t="s">
        <v>1175</v>
      </c>
      <c r="F90" s="94" t="s">
        <v>1176</v>
      </c>
    </row>
    <row r="91" spans="1:6" ht="87">
      <c r="A91" s="94" t="s">
        <v>44</v>
      </c>
      <c r="B91" s="94" t="s">
        <v>1177</v>
      </c>
      <c r="C91" s="94" t="s">
        <v>1178</v>
      </c>
      <c r="D91" s="94" t="s">
        <v>1179</v>
      </c>
      <c r="E91" s="94" t="s">
        <v>1180</v>
      </c>
      <c r="F91" s="94" t="s">
        <v>1181</v>
      </c>
    </row>
    <row r="92" spans="1:6" ht="87">
      <c r="A92" s="94" t="s">
        <v>44</v>
      </c>
      <c r="B92" s="94" t="s">
        <v>1182</v>
      </c>
      <c r="C92" s="94" t="s">
        <v>1183</v>
      </c>
      <c r="D92" s="94" t="s">
        <v>1184</v>
      </c>
      <c r="E92" s="94" t="s">
        <v>1185</v>
      </c>
      <c r="F92" s="94" t="s">
        <v>1186</v>
      </c>
    </row>
    <row r="93" spans="1:6" ht="87">
      <c r="A93" s="94" t="s">
        <v>44</v>
      </c>
      <c r="B93" s="94" t="s">
        <v>1187</v>
      </c>
      <c r="C93" s="94" t="s">
        <v>1188</v>
      </c>
      <c r="D93" s="94" t="s">
        <v>1189</v>
      </c>
      <c r="E93" s="94" t="s">
        <v>1190</v>
      </c>
      <c r="F93" s="94" t="s">
        <v>1191</v>
      </c>
    </row>
    <row r="94" spans="1:6" ht="72.5">
      <c r="A94" s="94" t="s">
        <v>44</v>
      </c>
      <c r="B94" s="94" t="s">
        <v>1192</v>
      </c>
      <c r="C94" s="94" t="s">
        <v>1193</v>
      </c>
      <c r="D94" s="94" t="s">
        <v>1194</v>
      </c>
      <c r="E94" s="94" t="s">
        <v>1195</v>
      </c>
      <c r="F94" s="94" t="s">
        <v>1196</v>
      </c>
    </row>
    <row r="95" spans="1:6" ht="87">
      <c r="A95" s="94" t="s">
        <v>44</v>
      </c>
      <c r="B95" s="94" t="s">
        <v>1197</v>
      </c>
      <c r="C95" s="94" t="s">
        <v>1198</v>
      </c>
      <c r="D95" s="94" t="s">
        <v>1199</v>
      </c>
      <c r="E95" s="94" t="s">
        <v>1200</v>
      </c>
      <c r="F95" s="94" t="s">
        <v>1201</v>
      </c>
    </row>
    <row r="96" spans="1:6" ht="87">
      <c r="A96" s="94" t="s">
        <v>44</v>
      </c>
      <c r="B96" s="94" t="s">
        <v>1202</v>
      </c>
      <c r="C96" s="94" t="s">
        <v>1203</v>
      </c>
      <c r="D96" s="94" t="s">
        <v>1204</v>
      </c>
      <c r="E96" s="94" t="s">
        <v>1205</v>
      </c>
      <c r="F96" s="94" t="s">
        <v>1206</v>
      </c>
    </row>
    <row r="97" spans="1:6" ht="87">
      <c r="A97" s="94" t="s">
        <v>44</v>
      </c>
      <c r="B97" s="94" t="s">
        <v>1207</v>
      </c>
      <c r="C97" s="94" t="s">
        <v>1208</v>
      </c>
      <c r="D97" s="94" t="s">
        <v>1209</v>
      </c>
      <c r="E97" s="94" t="s">
        <v>1210</v>
      </c>
      <c r="F97" s="94" t="s">
        <v>1211</v>
      </c>
    </row>
    <row r="98" spans="1:6" ht="72.5">
      <c r="A98" s="94" t="s">
        <v>44</v>
      </c>
      <c r="B98" s="94" t="s">
        <v>1212</v>
      </c>
      <c r="C98" s="94" t="s">
        <v>1213</v>
      </c>
      <c r="D98" s="94" t="s">
        <v>1214</v>
      </c>
      <c r="E98" s="94" t="s">
        <v>1215</v>
      </c>
      <c r="F98" s="94" t="s">
        <v>1216</v>
      </c>
    </row>
    <row r="99" spans="1:6" ht="87">
      <c r="A99" s="94" t="s">
        <v>44</v>
      </c>
      <c r="B99" s="94" t="s">
        <v>1217</v>
      </c>
      <c r="C99" s="94" t="s">
        <v>1218</v>
      </c>
      <c r="D99" s="94" t="s">
        <v>1219</v>
      </c>
      <c r="E99" s="94" t="s">
        <v>1220</v>
      </c>
      <c r="F99" s="94" t="s">
        <v>1221</v>
      </c>
    </row>
    <row r="100" spans="1:6" ht="87">
      <c r="A100" s="94" t="s">
        <v>44</v>
      </c>
      <c r="B100" s="94" t="s">
        <v>1222</v>
      </c>
      <c r="C100" s="94" t="s">
        <v>1223</v>
      </c>
      <c r="D100" s="94" t="s">
        <v>1224</v>
      </c>
      <c r="E100" s="94" t="s">
        <v>1225</v>
      </c>
      <c r="F100" s="94" t="s">
        <v>1226</v>
      </c>
    </row>
    <row r="101" spans="1:6" ht="87">
      <c r="A101" s="94" t="s">
        <v>44</v>
      </c>
      <c r="B101" s="94" t="s">
        <v>1227</v>
      </c>
      <c r="C101" s="94" t="s">
        <v>1228</v>
      </c>
      <c r="D101" s="94" t="s">
        <v>1229</v>
      </c>
      <c r="E101" s="94" t="s">
        <v>1230</v>
      </c>
      <c r="F101" s="94" t="s">
        <v>1231</v>
      </c>
    </row>
    <row r="102" spans="1:6" ht="87">
      <c r="A102" s="94" t="s">
        <v>44</v>
      </c>
      <c r="B102" s="94" t="s">
        <v>1232</v>
      </c>
      <c r="C102" s="94" t="s">
        <v>1233</v>
      </c>
      <c r="D102" s="94" t="s">
        <v>1234</v>
      </c>
      <c r="E102" s="94" t="s">
        <v>1235</v>
      </c>
      <c r="F102" s="94" t="s">
        <v>1236</v>
      </c>
    </row>
    <row r="103" spans="1:6" ht="87">
      <c r="A103" s="94" t="s">
        <v>44</v>
      </c>
      <c r="B103" s="94" t="s">
        <v>1237</v>
      </c>
      <c r="C103" s="94" t="s">
        <v>1238</v>
      </c>
      <c r="D103" s="94" t="s">
        <v>1239</v>
      </c>
      <c r="E103" s="94" t="s">
        <v>1240</v>
      </c>
      <c r="F103" s="94" t="s">
        <v>1241</v>
      </c>
    </row>
    <row r="104" spans="1:6" ht="87">
      <c r="A104" s="94" t="s">
        <v>44</v>
      </c>
      <c r="B104" s="94" t="s">
        <v>1242</v>
      </c>
      <c r="C104" s="94" t="s">
        <v>1243</v>
      </c>
      <c r="D104" s="94" t="s">
        <v>1244</v>
      </c>
      <c r="E104" s="94" t="s">
        <v>1245</v>
      </c>
      <c r="F104" s="94" t="s">
        <v>1246</v>
      </c>
    </row>
    <row r="105" spans="1:6" ht="87">
      <c r="A105" s="94" t="s">
        <v>44</v>
      </c>
      <c r="B105" s="94" t="s">
        <v>1247</v>
      </c>
      <c r="C105" s="94" t="s">
        <v>1248</v>
      </c>
      <c r="D105" s="94" t="s">
        <v>1249</v>
      </c>
      <c r="E105" s="94" t="s">
        <v>1250</v>
      </c>
      <c r="F105" s="94" t="s">
        <v>1251</v>
      </c>
    </row>
    <row r="106" spans="1:6" ht="87">
      <c r="A106" s="94" t="s">
        <v>44</v>
      </c>
      <c r="B106" s="94" t="s">
        <v>1252</v>
      </c>
      <c r="C106" s="94" t="s">
        <v>1253</v>
      </c>
      <c r="D106" s="94" t="s">
        <v>1254</v>
      </c>
      <c r="E106" s="94" t="s">
        <v>1255</v>
      </c>
      <c r="F106" s="94" t="s">
        <v>1256</v>
      </c>
    </row>
    <row r="107" spans="1:6" ht="87">
      <c r="A107" s="94" t="s">
        <v>44</v>
      </c>
      <c r="B107" s="94" t="s">
        <v>1257</v>
      </c>
      <c r="C107" s="94" t="s">
        <v>1258</v>
      </c>
      <c r="D107" s="94" t="s">
        <v>1259</v>
      </c>
      <c r="E107" s="94" t="s">
        <v>1260</v>
      </c>
      <c r="F107" s="94" t="s">
        <v>1261</v>
      </c>
    </row>
    <row r="108" spans="1:6" ht="87">
      <c r="A108" s="94" t="s">
        <v>44</v>
      </c>
      <c r="B108" s="94" t="s">
        <v>1262</v>
      </c>
      <c r="C108" s="94" t="s">
        <v>1263</v>
      </c>
      <c r="D108" s="94" t="s">
        <v>1264</v>
      </c>
      <c r="E108" s="94" t="s">
        <v>1265</v>
      </c>
      <c r="F108" s="94" t="s">
        <v>1266</v>
      </c>
    </row>
    <row r="109" spans="1:6" ht="72.5">
      <c r="A109" s="94" t="s">
        <v>44</v>
      </c>
      <c r="B109" s="94" t="s">
        <v>1267</v>
      </c>
      <c r="C109" s="94" t="s">
        <v>1268</v>
      </c>
      <c r="D109" s="94" t="s">
        <v>1269</v>
      </c>
      <c r="E109" s="94" t="s">
        <v>1270</v>
      </c>
      <c r="F109" s="94" t="s">
        <v>1271</v>
      </c>
    </row>
    <row r="110" spans="1:6" ht="87">
      <c r="A110" s="94" t="s">
        <v>44</v>
      </c>
      <c r="B110" s="94" t="s">
        <v>1272</v>
      </c>
      <c r="C110" s="94" t="s">
        <v>1273</v>
      </c>
      <c r="D110" s="94" t="s">
        <v>1274</v>
      </c>
      <c r="E110" s="94" t="s">
        <v>1275</v>
      </c>
      <c r="F110" s="94" t="s">
        <v>1276</v>
      </c>
    </row>
    <row r="111" spans="1:6" ht="87">
      <c r="A111" s="94" t="s">
        <v>44</v>
      </c>
      <c r="B111" s="94" t="s">
        <v>1277</v>
      </c>
      <c r="C111" s="94" t="s">
        <v>1278</v>
      </c>
      <c r="D111" s="94" t="s">
        <v>1279</v>
      </c>
      <c r="E111" s="94" t="s">
        <v>1280</v>
      </c>
      <c r="F111" s="94" t="s">
        <v>1281</v>
      </c>
    </row>
    <row r="112" spans="1:6" ht="87">
      <c r="A112" s="94" t="s">
        <v>44</v>
      </c>
      <c r="B112" s="94" t="s">
        <v>1282</v>
      </c>
      <c r="C112" s="94" t="s">
        <v>1283</v>
      </c>
      <c r="D112" s="94" t="s">
        <v>1284</v>
      </c>
      <c r="E112" s="94" t="s">
        <v>1285</v>
      </c>
      <c r="F112" s="94" t="s">
        <v>1286</v>
      </c>
    </row>
    <row r="113" spans="1:6" ht="87">
      <c r="A113" s="94" t="s">
        <v>44</v>
      </c>
      <c r="B113" s="94" t="s">
        <v>1287</v>
      </c>
      <c r="C113" s="94" t="s">
        <v>1288</v>
      </c>
      <c r="D113" s="94" t="s">
        <v>1289</v>
      </c>
      <c r="E113" s="94" t="s">
        <v>1290</v>
      </c>
      <c r="F113" s="94" t="s">
        <v>1291</v>
      </c>
    </row>
    <row r="114" spans="1:6" ht="87">
      <c r="A114" s="94" t="s">
        <v>44</v>
      </c>
      <c r="B114" s="94" t="s">
        <v>1292</v>
      </c>
      <c r="C114" s="94" t="s">
        <v>1293</v>
      </c>
      <c r="D114" s="94" t="s">
        <v>1294</v>
      </c>
      <c r="E114" s="94" t="s">
        <v>1295</v>
      </c>
      <c r="F114" s="94" t="s">
        <v>1296</v>
      </c>
    </row>
    <row r="115" spans="1:6" ht="87">
      <c r="A115" s="94" t="s">
        <v>44</v>
      </c>
      <c r="B115" s="94" t="s">
        <v>1297</v>
      </c>
      <c r="C115" s="94" t="s">
        <v>1298</v>
      </c>
      <c r="D115" s="94" t="s">
        <v>1299</v>
      </c>
      <c r="E115" s="94" t="s">
        <v>1300</v>
      </c>
      <c r="F115" s="94" t="s">
        <v>1301</v>
      </c>
    </row>
    <row r="116" spans="1:6" ht="72.5">
      <c r="A116" s="94" t="s">
        <v>44</v>
      </c>
      <c r="B116" s="94" t="s">
        <v>1328</v>
      </c>
      <c r="C116" s="94" t="s">
        <v>1329</v>
      </c>
      <c r="D116" s="94" t="s">
        <v>1330</v>
      </c>
      <c r="E116" s="94" t="s">
        <v>1331</v>
      </c>
      <c r="F116" s="94" t="s">
        <v>1332</v>
      </c>
    </row>
    <row r="117" spans="1:6" ht="58">
      <c r="A117" s="94" t="s">
        <v>44</v>
      </c>
      <c r="B117" s="94" t="s">
        <v>1333</v>
      </c>
      <c r="C117" s="94" t="s">
        <v>1334</v>
      </c>
      <c r="D117" s="94" t="s">
        <v>1335</v>
      </c>
      <c r="E117" s="94" t="s">
        <v>1336</v>
      </c>
      <c r="F117" s="94" t="s">
        <v>1337</v>
      </c>
    </row>
    <row r="118" spans="1:6" ht="72.5">
      <c r="A118" s="94" t="s">
        <v>44</v>
      </c>
      <c r="B118" s="94" t="s">
        <v>1338</v>
      </c>
      <c r="C118" s="94" t="s">
        <v>1339</v>
      </c>
      <c r="D118" s="94" t="s">
        <v>1340</v>
      </c>
      <c r="E118" s="94" t="s">
        <v>1341</v>
      </c>
      <c r="F118" s="94" t="s">
        <v>1342</v>
      </c>
    </row>
    <row r="119" spans="1:6" ht="58">
      <c r="A119" s="94" t="s">
        <v>44</v>
      </c>
      <c r="B119" s="94" t="s">
        <v>1343</v>
      </c>
      <c r="C119" s="94" t="s">
        <v>1344</v>
      </c>
      <c r="D119" s="94" t="s">
        <v>1345</v>
      </c>
      <c r="E119" s="94" t="s">
        <v>1346</v>
      </c>
      <c r="F119" s="94" t="s">
        <v>1347</v>
      </c>
    </row>
    <row r="120" spans="1:6" ht="43.5">
      <c r="A120" s="94" t="s">
        <v>44</v>
      </c>
      <c r="B120" s="94" t="s">
        <v>1348</v>
      </c>
      <c r="C120" s="94" t="s">
        <v>1349</v>
      </c>
      <c r="D120" s="94" t="s">
        <v>1350</v>
      </c>
      <c r="E120" s="94" t="s">
        <v>1351</v>
      </c>
      <c r="F120" s="94" t="s">
        <v>1352</v>
      </c>
    </row>
    <row r="121" spans="1:6" ht="58">
      <c r="A121" s="94" t="s">
        <v>44</v>
      </c>
      <c r="B121" s="94" t="s">
        <v>1353</v>
      </c>
      <c r="C121" s="94" t="s">
        <v>1354</v>
      </c>
      <c r="D121" s="94" t="s">
        <v>1355</v>
      </c>
      <c r="E121" s="94" t="s">
        <v>1356</v>
      </c>
      <c r="F121" s="94" t="s">
        <v>1357</v>
      </c>
    </row>
    <row r="122" spans="1:6" ht="58">
      <c r="A122" s="94" t="s">
        <v>44</v>
      </c>
      <c r="B122" s="94" t="s">
        <v>1358</v>
      </c>
      <c r="C122" s="94" t="s">
        <v>1359</v>
      </c>
      <c r="D122" s="94" t="s">
        <v>1360</v>
      </c>
      <c r="E122" s="94" t="s">
        <v>1361</v>
      </c>
      <c r="F122" s="94" t="s">
        <v>1362</v>
      </c>
    </row>
    <row r="123" spans="1:6" ht="58">
      <c r="A123" s="94" t="s">
        <v>44</v>
      </c>
      <c r="B123" s="94" t="s">
        <v>1363</v>
      </c>
      <c r="C123" s="94" t="s">
        <v>1364</v>
      </c>
      <c r="D123" s="94" t="s">
        <v>1365</v>
      </c>
      <c r="E123" s="94" t="s">
        <v>1366</v>
      </c>
      <c r="F123" s="94" t="s">
        <v>1367</v>
      </c>
    </row>
    <row r="124" spans="1:6" ht="58">
      <c r="A124" s="94" t="s">
        <v>44</v>
      </c>
      <c r="B124" s="94" t="s">
        <v>1368</v>
      </c>
      <c r="C124" s="94" t="s">
        <v>1369</v>
      </c>
      <c r="D124" s="94" t="s">
        <v>1370</v>
      </c>
      <c r="E124" s="94" t="s">
        <v>1371</v>
      </c>
      <c r="F124" s="94" t="s">
        <v>1372</v>
      </c>
    </row>
    <row r="125" spans="1:6" ht="58">
      <c r="A125" s="94" t="s">
        <v>44</v>
      </c>
      <c r="B125" s="94" t="s">
        <v>1373</v>
      </c>
      <c r="C125" s="94" t="s">
        <v>1374</v>
      </c>
      <c r="D125" s="94" t="s">
        <v>1375</v>
      </c>
      <c r="E125" s="94" t="s">
        <v>1376</v>
      </c>
      <c r="F125" s="94" t="s">
        <v>1377</v>
      </c>
    </row>
    <row r="126" spans="1:6" ht="58">
      <c r="A126" s="94" t="s">
        <v>44</v>
      </c>
      <c r="B126" s="94" t="s">
        <v>1378</v>
      </c>
      <c r="C126" s="94" t="s">
        <v>1379</v>
      </c>
      <c r="D126" s="94" t="s">
        <v>1380</v>
      </c>
      <c r="E126" s="94" t="s">
        <v>1381</v>
      </c>
      <c r="F126" s="94" t="s">
        <v>1382</v>
      </c>
    </row>
    <row r="127" spans="1:6" ht="58">
      <c r="A127" s="94" t="s">
        <v>44</v>
      </c>
      <c r="B127" s="94" t="s">
        <v>1383</v>
      </c>
      <c r="C127" s="94" t="s">
        <v>1384</v>
      </c>
      <c r="D127" s="94" t="s">
        <v>1385</v>
      </c>
      <c r="E127" s="94" t="s">
        <v>1386</v>
      </c>
      <c r="F127" s="94" t="s">
        <v>1387</v>
      </c>
    </row>
    <row r="128" spans="1:6" ht="58">
      <c r="A128" s="94" t="s">
        <v>44</v>
      </c>
      <c r="B128" s="94" t="s">
        <v>1388</v>
      </c>
      <c r="C128" s="94" t="s">
        <v>1389</v>
      </c>
      <c r="D128" s="94" t="s">
        <v>1390</v>
      </c>
      <c r="E128" s="94" t="s">
        <v>1391</v>
      </c>
      <c r="F128" s="94" t="s">
        <v>1392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D2103-0E8B-46C3-B111-ACA845F0A2AF}">
  <dimension ref="A1:U74"/>
  <sheetViews>
    <sheetView showGridLines="0" topLeftCell="A17" zoomScale="85" zoomScaleNormal="85" workbookViewId="0">
      <selection activeCell="D55" sqref="D55"/>
    </sheetView>
  </sheetViews>
  <sheetFormatPr baseColWidth="10" defaultColWidth="0" defaultRowHeight="14.5" zeroHeight="1"/>
  <cols>
    <col min="1" max="1" width="5.1796875" customWidth="1"/>
    <col min="2" max="2" width="10.54296875" customWidth="1"/>
    <col min="3" max="3" width="52.90625" customWidth="1"/>
    <col min="4" max="5" width="15.36328125" customWidth="1"/>
    <col min="6" max="8" width="3.453125" customWidth="1"/>
    <col min="9" max="14" width="3.26953125" customWidth="1"/>
    <col min="15" max="15" width="3.36328125" customWidth="1"/>
    <col min="16" max="16" width="3.453125" customWidth="1"/>
    <col min="17" max="17" width="4.453125" customWidth="1"/>
    <col min="18" max="18" width="22" customWidth="1"/>
    <col min="19" max="19" width="20.453125" customWidth="1"/>
    <col min="20" max="20" width="7.7265625" customWidth="1"/>
    <col min="21" max="21" width="5.1796875" customWidth="1"/>
    <col min="22" max="16384" width="10.90625" hidden="1"/>
  </cols>
  <sheetData>
    <row r="1" spans="1:21">
      <c r="A1" s="53"/>
      <c r="B1" s="53"/>
      <c r="C1" s="53"/>
      <c r="D1" s="53"/>
      <c r="E1" s="53"/>
      <c r="F1" s="53"/>
      <c r="G1" s="53"/>
      <c r="H1" s="53"/>
      <c r="I1" s="53"/>
      <c r="J1" s="53"/>
      <c r="K1" s="53"/>
      <c r="L1" s="53"/>
      <c r="M1" s="53"/>
      <c r="N1" s="53"/>
      <c r="O1" s="53"/>
      <c r="P1" s="53"/>
      <c r="Q1" s="53"/>
      <c r="R1" s="53"/>
      <c r="S1" s="53"/>
      <c r="T1" s="53"/>
      <c r="U1" s="53"/>
    </row>
    <row r="2" spans="1:21" ht="31.5" customHeight="1">
      <c r="A2" s="326" t="s">
        <v>104</v>
      </c>
      <c r="B2" s="326"/>
      <c r="C2" s="326"/>
      <c r="D2" s="326"/>
      <c r="E2" s="326"/>
      <c r="F2" s="326"/>
      <c r="G2" s="326"/>
      <c r="H2" s="326"/>
      <c r="I2" s="326"/>
      <c r="J2" s="326"/>
      <c r="K2" s="326"/>
      <c r="L2" s="326"/>
      <c r="M2" s="326"/>
      <c r="N2" s="326"/>
      <c r="O2" s="326"/>
      <c r="P2" s="326"/>
      <c r="Q2" s="326"/>
      <c r="R2" s="326"/>
      <c r="S2" s="326"/>
      <c r="T2" s="326"/>
      <c r="U2" s="326"/>
    </row>
    <row r="3" spans="1:21">
      <c r="A3" s="53"/>
      <c r="B3" s="53"/>
      <c r="C3" s="53"/>
      <c r="D3" s="53"/>
      <c r="E3" s="53"/>
      <c r="F3" s="53"/>
      <c r="G3" s="53"/>
      <c r="H3" s="53"/>
      <c r="I3" s="53"/>
      <c r="J3" s="53"/>
      <c r="K3" s="53"/>
      <c r="L3" s="53"/>
      <c r="M3" s="53"/>
      <c r="N3" s="53"/>
      <c r="O3" s="53"/>
      <c r="P3" s="53"/>
      <c r="Q3" s="53"/>
      <c r="R3" s="53"/>
      <c r="S3" s="53"/>
      <c r="T3" s="53"/>
      <c r="U3" s="53"/>
    </row>
    <row r="4" spans="1:21" ht="47.5" customHeight="1">
      <c r="A4" s="53"/>
      <c r="B4" s="48" t="s">
        <v>70</v>
      </c>
      <c r="C4" s="48" t="s">
        <v>71</v>
      </c>
      <c r="D4" s="48" t="s">
        <v>72</v>
      </c>
      <c r="E4" s="48" t="s">
        <v>102</v>
      </c>
      <c r="F4" s="324" t="s">
        <v>103</v>
      </c>
      <c r="G4" s="324"/>
      <c r="H4" s="324"/>
      <c r="I4" s="324" t="s">
        <v>73</v>
      </c>
      <c r="J4" s="324"/>
      <c r="K4" s="324"/>
      <c r="L4" s="324" t="s">
        <v>74</v>
      </c>
      <c r="M4" s="324"/>
      <c r="N4" s="324"/>
      <c r="O4" s="324" t="s">
        <v>75</v>
      </c>
      <c r="P4" s="324"/>
      <c r="Q4" s="324"/>
      <c r="R4" s="325"/>
      <c r="S4" s="328" t="s">
        <v>76</v>
      </c>
      <c r="T4" s="328"/>
      <c r="U4" s="53"/>
    </row>
    <row r="5" spans="1:21" ht="31" customHeight="1">
      <c r="A5" s="53"/>
      <c r="B5" s="57">
        <v>1</v>
      </c>
      <c r="C5" s="58" t="s">
        <v>108</v>
      </c>
      <c r="D5" s="57" t="s">
        <v>123</v>
      </c>
      <c r="E5" s="80">
        <v>46238</v>
      </c>
      <c r="F5" s="313" t="s">
        <v>105</v>
      </c>
      <c r="G5" s="313"/>
      <c r="H5" s="313"/>
      <c r="I5" s="314">
        <v>2</v>
      </c>
      <c r="J5" s="314"/>
      <c r="K5" s="314"/>
      <c r="L5" s="314">
        <v>5</v>
      </c>
      <c r="M5" s="314"/>
      <c r="N5" s="314"/>
      <c r="O5" s="315" t="str">
        <f>IF(AND(I5="",L5=""),"Evaluar Impacto y Esfuerzo",IF(I5="","Evaluar Impacto",IF(L5="","Evaluar Esfuerzo",IF(AND(I5&gt;=4,L5&lt;=3),"Alto impacto y bajo esfuerzo",IF(AND(I5&gt;=4,L5&gt;=4),"Alto impacto y alto esfuerzo",IF(AND(I5&lt;=3,L5&lt;=3),"Bajo impacto y bajo esfuerzo","Bajo impacto y alto esfuerzo"))))))</f>
        <v>Bajo impacto y alto esfuerzo</v>
      </c>
      <c r="P5" s="315"/>
      <c r="Q5" s="315"/>
      <c r="R5" s="316"/>
      <c r="S5" s="323" t="str">
        <f>IF(LEFT(O5,7)="Evaluar","Sin prioridad establecida",IF(O5="Alto impacto y bajo esfuerzo","PRIORIDAD 1",IF(O5="Alto impacto y alto esfuerzo","PRIORIDAD 2",IF(O5="Bajo impacto y bajo esfuerzo","PRIORIDAD 3","PRIORIDAD 4"))))</f>
        <v>PRIORIDAD 4</v>
      </c>
      <c r="T5" s="323"/>
      <c r="U5" s="53"/>
    </row>
    <row r="6" spans="1:21" ht="31" customHeight="1">
      <c r="A6" s="53"/>
      <c r="B6" s="57">
        <v>2</v>
      </c>
      <c r="C6" s="58" t="s">
        <v>109</v>
      </c>
      <c r="D6" s="57" t="s">
        <v>124</v>
      </c>
      <c r="E6" s="80">
        <v>46238</v>
      </c>
      <c r="F6" s="313" t="s">
        <v>126</v>
      </c>
      <c r="G6" s="313"/>
      <c r="H6" s="313"/>
      <c r="I6" s="314">
        <v>5</v>
      </c>
      <c r="J6" s="314"/>
      <c r="K6" s="314"/>
      <c r="L6" s="314">
        <v>1</v>
      </c>
      <c r="M6" s="314"/>
      <c r="N6" s="314"/>
      <c r="O6" s="315" t="str">
        <f>IF(AND(I6="",L6=""),"Evaluar Impacto y Esfuerzo",IF(I6="","Evaluar Impacto",IF(L6="","Evaluar Esfuerzo",IF(AND(I6&gt;=4,L6&lt;=3),"Alto impacto y bajo esfuerzo",IF(AND(I6&gt;=4,L6&gt;=4),"Alto impacto y alto esfuerzo",IF(AND(I6&lt;=3,L6&lt;=3),"Bajo impacto y bajo esfuerzo","Bajo impacto y alto esfuerzo"))))))</f>
        <v>Alto impacto y bajo esfuerzo</v>
      </c>
      <c r="P6" s="315"/>
      <c r="Q6" s="315"/>
      <c r="R6" s="316"/>
      <c r="S6" s="323" t="str">
        <f t="shared" ref="S6:S16" si="0">IF(LEFT(O6,7)="Evaluar","Sin prioridad establecida",IF(O6="Alto impacto y bajo esfuerzo","PRIORIDAD 1",IF(O6="Alto impacto y alto esfuerzo","PRIORIDAD 2",IF(O6="Bajo impacto y bajo esfuerzo","PRIORIDAD 3","PRIORIDAD 4"))))</f>
        <v>PRIORIDAD 1</v>
      </c>
      <c r="T6" s="323"/>
      <c r="U6" s="53"/>
    </row>
    <row r="7" spans="1:21" ht="31" customHeight="1">
      <c r="A7" s="53"/>
      <c r="B7" s="57">
        <v>3</v>
      </c>
      <c r="C7" s="58" t="s">
        <v>110</v>
      </c>
      <c r="D7" s="57" t="s">
        <v>125</v>
      </c>
      <c r="E7" s="80">
        <v>46238</v>
      </c>
      <c r="F7" s="313" t="s">
        <v>127</v>
      </c>
      <c r="G7" s="313"/>
      <c r="H7" s="313"/>
      <c r="I7" s="314">
        <v>3</v>
      </c>
      <c r="J7" s="314"/>
      <c r="K7" s="314"/>
      <c r="L7" s="314">
        <v>2</v>
      </c>
      <c r="M7" s="314"/>
      <c r="N7" s="314"/>
      <c r="O7" s="315" t="str">
        <f>IF(AND(I7="",L7=""),"Evaluar Impacto y Esfuerzo",IF(I7="","Evaluar Impacto",IF(L7="","Evaluar Esfuerzo",IF(AND(I7&gt;=4,L7&lt;=3),"Alto impacto y bajo esfuerzo",IF(AND(I7&gt;=4,L7&gt;=4),"Alto impacto y alto esfuerzo",IF(AND(I7&lt;=3,L7&lt;=3),"Bajo impacto y bajo esfuerzo","Bajo impacto y alto esfuerzo"))))))</f>
        <v>Bajo impacto y bajo esfuerzo</v>
      </c>
      <c r="P7" s="315"/>
      <c r="Q7" s="315"/>
      <c r="R7" s="316"/>
      <c r="S7" s="323" t="str">
        <f t="shared" si="0"/>
        <v>PRIORIDAD 3</v>
      </c>
      <c r="T7" s="323"/>
      <c r="U7" s="53"/>
    </row>
    <row r="8" spans="1:21" ht="31" customHeight="1">
      <c r="A8" s="53"/>
      <c r="B8" s="57">
        <v>4</v>
      </c>
      <c r="C8" s="58" t="s">
        <v>111</v>
      </c>
      <c r="D8" s="57" t="s">
        <v>125</v>
      </c>
      <c r="E8" s="80">
        <v>46238</v>
      </c>
      <c r="F8" s="313" t="s">
        <v>128</v>
      </c>
      <c r="G8" s="313"/>
      <c r="H8" s="313"/>
      <c r="I8" s="314">
        <v>3</v>
      </c>
      <c r="J8" s="314"/>
      <c r="K8" s="314"/>
      <c r="L8" s="314">
        <v>2</v>
      </c>
      <c r="M8" s="314"/>
      <c r="N8" s="314"/>
      <c r="O8" s="315" t="str">
        <f>IF(AND(I8="",L8=""),"Evaluar Impacto y Esfuerzo",IF(I8="","Evaluar Impacto",IF(L8="","Evaluar Esfuerzo",IF(AND(I8&gt;=4,L8&lt;=3),"Alto impacto y bajo esfuerzo",IF(AND(I8&gt;=4,L8&gt;=4),"Alto impacto y alto esfuerzo",IF(AND(I8&lt;=3,L8&lt;=3),"Bajo impacto y bajo esfuerzo","Bajo impacto y alto esfuerzo"))))))</f>
        <v>Bajo impacto y bajo esfuerzo</v>
      </c>
      <c r="P8" s="315"/>
      <c r="Q8" s="315"/>
      <c r="R8" s="316"/>
      <c r="S8" s="323" t="str">
        <f t="shared" si="0"/>
        <v>PRIORIDAD 3</v>
      </c>
      <c r="T8" s="323"/>
      <c r="U8" s="53"/>
    </row>
    <row r="9" spans="1:21" ht="31" customHeight="1">
      <c r="A9" s="53"/>
      <c r="B9" s="57">
        <v>5</v>
      </c>
      <c r="C9" s="58" t="s">
        <v>112</v>
      </c>
      <c r="D9" s="57" t="s">
        <v>125</v>
      </c>
      <c r="E9" s="80">
        <v>46238</v>
      </c>
      <c r="F9" s="313" t="s">
        <v>105</v>
      </c>
      <c r="G9" s="313"/>
      <c r="H9" s="313"/>
      <c r="I9" s="314">
        <v>3</v>
      </c>
      <c r="J9" s="314"/>
      <c r="K9" s="314"/>
      <c r="L9" s="314">
        <v>1</v>
      </c>
      <c r="M9" s="314"/>
      <c r="N9" s="314"/>
      <c r="O9" s="315" t="str">
        <f>IF(AND(I9="",L9=""),"Evaluar Impacto y Esfuerzo",IF(I9="","Evaluar Impacto",IF(L9="","Evaluar Esfuerzo",IF(AND(I9&gt;=4,L9&lt;=3),"Alto impacto y bajo esfuerzo",IF(AND(I9&gt;=4,L9&gt;=4),"Alto impacto y alto esfuerzo",IF(AND(I9&lt;=3,L9&lt;=3),"Bajo impacto y bajo esfuerzo","Bajo impacto y alto esfuerzo"))))))</f>
        <v>Bajo impacto y bajo esfuerzo</v>
      </c>
      <c r="P9" s="315"/>
      <c r="Q9" s="315"/>
      <c r="R9" s="316"/>
      <c r="S9" s="323" t="str">
        <f t="shared" si="0"/>
        <v>PRIORIDAD 3</v>
      </c>
      <c r="T9" s="323"/>
      <c r="U9" s="53"/>
    </row>
    <row r="10" spans="1:21" ht="31" customHeight="1">
      <c r="A10" s="53"/>
      <c r="B10" s="57">
        <v>6</v>
      </c>
      <c r="C10" s="58">
        <v>1</v>
      </c>
      <c r="D10" s="57" t="s">
        <v>125</v>
      </c>
      <c r="E10" s="80">
        <v>46238</v>
      </c>
      <c r="F10" s="313" t="s">
        <v>105</v>
      </c>
      <c r="G10" s="313"/>
      <c r="H10" s="313"/>
      <c r="I10" s="314">
        <v>2</v>
      </c>
      <c r="J10" s="314"/>
      <c r="K10" s="314"/>
      <c r="L10" s="314">
        <v>3</v>
      </c>
      <c r="M10" s="314"/>
      <c r="N10" s="314"/>
      <c r="O10" s="315" t="str">
        <f t="shared" ref="O10:O16" si="1">IF(AND(I10="",L10=""),"Evaluar Impacto y Esfuerzo",IF(I10="","Evaluar Impacto",IF(L10="","Evaluar Esfuerzo",IF(AND(I10&gt;=4,L10&lt;=3),"Alto impacto y bajo esfuerzo",IF(AND(I10&gt;=4,L10&gt;=4),"Alto impacto y alto esfuerzo",IF(AND(I10&lt;=3,L10&lt;=3),"Bajo impacto y bajo esfuerzo","Bajo impacto y alto esfuerzo"))))))</f>
        <v>Bajo impacto y bajo esfuerzo</v>
      </c>
      <c r="P10" s="315"/>
      <c r="Q10" s="315"/>
      <c r="R10" s="316"/>
      <c r="S10" s="323" t="str">
        <f t="shared" si="0"/>
        <v>PRIORIDAD 3</v>
      </c>
      <c r="T10" s="323"/>
      <c r="U10" s="53"/>
    </row>
    <row r="11" spans="1:21" ht="31" customHeight="1">
      <c r="A11" s="53"/>
      <c r="B11" s="57">
        <v>7</v>
      </c>
      <c r="C11" s="58">
        <v>2</v>
      </c>
      <c r="D11" s="57" t="s">
        <v>125</v>
      </c>
      <c r="E11" s="80">
        <v>46238</v>
      </c>
      <c r="F11" s="313" t="s">
        <v>105</v>
      </c>
      <c r="G11" s="313"/>
      <c r="H11" s="313"/>
      <c r="I11" s="314">
        <v>4</v>
      </c>
      <c r="J11" s="314"/>
      <c r="K11" s="314"/>
      <c r="L11" s="314">
        <v>2</v>
      </c>
      <c r="M11" s="314"/>
      <c r="N11" s="314"/>
      <c r="O11" s="315" t="str">
        <f t="shared" si="1"/>
        <v>Alto impacto y bajo esfuerzo</v>
      </c>
      <c r="P11" s="315"/>
      <c r="Q11" s="315"/>
      <c r="R11" s="316"/>
      <c r="S11" s="323" t="str">
        <f t="shared" si="0"/>
        <v>PRIORIDAD 1</v>
      </c>
      <c r="T11" s="323"/>
      <c r="U11" s="53"/>
    </row>
    <row r="12" spans="1:21" ht="31" customHeight="1">
      <c r="A12" s="53"/>
      <c r="B12" s="57">
        <v>8</v>
      </c>
      <c r="C12" s="58">
        <v>3</v>
      </c>
      <c r="D12" s="57" t="s">
        <v>125</v>
      </c>
      <c r="E12" s="80">
        <v>46238</v>
      </c>
      <c r="F12" s="313" t="s">
        <v>105</v>
      </c>
      <c r="G12" s="313"/>
      <c r="H12" s="313"/>
      <c r="I12" s="314">
        <v>3</v>
      </c>
      <c r="J12" s="314"/>
      <c r="K12" s="314"/>
      <c r="L12" s="314">
        <v>3</v>
      </c>
      <c r="M12" s="314"/>
      <c r="N12" s="314"/>
      <c r="O12" s="315" t="str">
        <f t="shared" si="1"/>
        <v>Bajo impacto y bajo esfuerzo</v>
      </c>
      <c r="P12" s="315"/>
      <c r="Q12" s="315"/>
      <c r="R12" s="316"/>
      <c r="S12" s="323" t="str">
        <f t="shared" si="0"/>
        <v>PRIORIDAD 3</v>
      </c>
      <c r="T12" s="323"/>
      <c r="U12" s="53"/>
    </row>
    <row r="13" spans="1:21" ht="31" customHeight="1">
      <c r="A13" s="53"/>
      <c r="B13" s="57">
        <v>9</v>
      </c>
      <c r="C13" s="58">
        <v>4</v>
      </c>
      <c r="D13" s="57" t="s">
        <v>125</v>
      </c>
      <c r="E13" s="80">
        <v>46238</v>
      </c>
      <c r="F13" s="313" t="s">
        <v>105</v>
      </c>
      <c r="G13" s="313"/>
      <c r="H13" s="313"/>
      <c r="I13" s="314">
        <v>2</v>
      </c>
      <c r="J13" s="314"/>
      <c r="K13" s="314"/>
      <c r="L13" s="314">
        <v>4</v>
      </c>
      <c r="M13" s="314"/>
      <c r="N13" s="314"/>
      <c r="O13" s="315" t="str">
        <f t="shared" si="1"/>
        <v>Bajo impacto y alto esfuerzo</v>
      </c>
      <c r="P13" s="315"/>
      <c r="Q13" s="315"/>
      <c r="R13" s="316"/>
      <c r="S13" s="323" t="str">
        <f t="shared" si="0"/>
        <v>PRIORIDAD 4</v>
      </c>
      <c r="T13" s="323"/>
      <c r="U13" s="53"/>
    </row>
    <row r="14" spans="1:21" ht="31" customHeight="1">
      <c r="A14" s="53"/>
      <c r="B14" s="57">
        <v>10</v>
      </c>
      <c r="C14" s="58">
        <v>5</v>
      </c>
      <c r="D14" s="57" t="s">
        <v>125</v>
      </c>
      <c r="E14" s="80">
        <v>46238</v>
      </c>
      <c r="F14" s="313" t="s">
        <v>105</v>
      </c>
      <c r="G14" s="313"/>
      <c r="H14" s="313"/>
      <c r="I14" s="314">
        <v>1</v>
      </c>
      <c r="J14" s="314"/>
      <c r="K14" s="314"/>
      <c r="L14" s="314">
        <v>5</v>
      </c>
      <c r="M14" s="314"/>
      <c r="N14" s="314"/>
      <c r="O14" s="315" t="str">
        <f t="shared" si="1"/>
        <v>Bajo impacto y alto esfuerzo</v>
      </c>
      <c r="P14" s="315"/>
      <c r="Q14" s="315"/>
      <c r="R14" s="316"/>
      <c r="S14" s="323" t="str">
        <f t="shared" si="0"/>
        <v>PRIORIDAD 4</v>
      </c>
      <c r="T14" s="323"/>
      <c r="U14" s="53"/>
    </row>
    <row r="15" spans="1:21" ht="31" customHeight="1">
      <c r="A15" s="53"/>
      <c r="B15" s="57">
        <v>11</v>
      </c>
      <c r="C15" s="58">
        <v>6</v>
      </c>
      <c r="D15" s="57" t="s">
        <v>125</v>
      </c>
      <c r="E15" s="80">
        <v>46238</v>
      </c>
      <c r="F15" s="313" t="s">
        <v>105</v>
      </c>
      <c r="G15" s="313"/>
      <c r="H15" s="313"/>
      <c r="I15" s="314">
        <v>5</v>
      </c>
      <c r="J15" s="314"/>
      <c r="K15" s="314"/>
      <c r="L15" s="314">
        <v>3</v>
      </c>
      <c r="M15" s="314"/>
      <c r="N15" s="314"/>
      <c r="O15" s="315" t="str">
        <f t="shared" si="1"/>
        <v>Alto impacto y bajo esfuerzo</v>
      </c>
      <c r="P15" s="315"/>
      <c r="Q15" s="315"/>
      <c r="R15" s="316"/>
      <c r="S15" s="323" t="str">
        <f t="shared" si="0"/>
        <v>PRIORIDAD 1</v>
      </c>
      <c r="T15" s="323"/>
      <c r="U15" s="53"/>
    </row>
    <row r="16" spans="1:21" ht="31" customHeight="1">
      <c r="A16" s="53"/>
      <c r="B16" s="57">
        <v>12</v>
      </c>
      <c r="C16" s="58">
        <v>7</v>
      </c>
      <c r="D16" s="57" t="s">
        <v>125</v>
      </c>
      <c r="E16" s="80">
        <v>46238</v>
      </c>
      <c r="F16" s="313" t="s">
        <v>105</v>
      </c>
      <c r="G16" s="313"/>
      <c r="H16" s="313"/>
      <c r="I16" s="314">
        <v>1</v>
      </c>
      <c r="J16" s="314"/>
      <c r="K16" s="314"/>
      <c r="L16" s="314">
        <v>1</v>
      </c>
      <c r="M16" s="314"/>
      <c r="N16" s="314"/>
      <c r="O16" s="315" t="str">
        <f t="shared" si="1"/>
        <v>Bajo impacto y bajo esfuerzo</v>
      </c>
      <c r="P16" s="315"/>
      <c r="Q16" s="315"/>
      <c r="R16" s="316"/>
      <c r="S16" s="323" t="str">
        <f t="shared" si="0"/>
        <v>PRIORIDAD 3</v>
      </c>
      <c r="T16" s="323"/>
      <c r="U16" s="53"/>
    </row>
    <row r="17" spans="1:21" ht="31" customHeight="1">
      <c r="A17" s="53"/>
      <c r="B17" s="54"/>
      <c r="C17" s="55"/>
      <c r="D17" s="56"/>
      <c r="E17" s="53"/>
      <c r="F17" s="53"/>
      <c r="G17" s="53"/>
      <c r="H17" s="53"/>
      <c r="I17" s="53"/>
      <c r="J17" s="53"/>
      <c r="K17" s="53"/>
      <c r="L17" s="53"/>
      <c r="M17" s="53"/>
      <c r="N17" s="53"/>
      <c r="O17" s="53"/>
      <c r="P17" s="53"/>
      <c r="Q17" s="53"/>
      <c r="R17" s="53"/>
      <c r="S17" s="53"/>
      <c r="T17" s="53"/>
      <c r="U17" s="53"/>
    </row>
    <row r="18" spans="1:21">
      <c r="A18" s="53"/>
      <c r="B18" s="53"/>
      <c r="C18" s="53"/>
      <c r="D18" s="53"/>
      <c r="E18" s="332" t="s">
        <v>106</v>
      </c>
      <c r="F18" s="332"/>
      <c r="G18" s="332"/>
      <c r="H18" s="332"/>
      <c r="I18" s="332"/>
      <c r="J18" s="332"/>
      <c r="K18" s="332"/>
      <c r="L18" s="332"/>
      <c r="M18" s="332"/>
      <c r="N18" s="332"/>
      <c r="O18" s="332"/>
      <c r="P18" s="332"/>
      <c r="Q18" s="332"/>
      <c r="R18" s="332"/>
      <c r="S18" s="332"/>
      <c r="T18" s="332"/>
      <c r="U18" s="53"/>
    </row>
    <row r="19" spans="1:21">
      <c r="A19" s="53"/>
      <c r="B19" s="53"/>
      <c r="C19" s="53"/>
      <c r="D19" s="53"/>
      <c r="E19" s="332"/>
      <c r="F19" s="332"/>
      <c r="G19" s="332"/>
      <c r="H19" s="332"/>
      <c r="I19" s="332"/>
      <c r="J19" s="332"/>
      <c r="K19" s="332"/>
      <c r="L19" s="332"/>
      <c r="M19" s="332"/>
      <c r="N19" s="332"/>
      <c r="O19" s="332"/>
      <c r="P19" s="332"/>
      <c r="Q19" s="332"/>
      <c r="R19" s="332"/>
      <c r="S19" s="332"/>
      <c r="T19" s="332"/>
      <c r="U19" s="53"/>
    </row>
    <row r="20" spans="1:21" ht="15" thickBot="1">
      <c r="A20" s="53"/>
      <c r="B20" s="53"/>
      <c r="C20" s="53"/>
      <c r="D20" s="53"/>
      <c r="E20" s="63"/>
      <c r="F20" s="63"/>
      <c r="G20" s="63"/>
      <c r="H20" s="63"/>
      <c r="I20" s="63"/>
      <c r="J20" s="63"/>
      <c r="K20" s="63"/>
      <c r="L20" s="63"/>
      <c r="M20" s="63"/>
      <c r="N20" s="63"/>
      <c r="O20" s="63"/>
      <c r="P20" s="63"/>
      <c r="Q20" s="63"/>
      <c r="R20" s="63"/>
      <c r="S20" s="63"/>
      <c r="T20" s="63"/>
      <c r="U20" s="53"/>
    </row>
    <row r="21" spans="1:21" ht="21.5" thickBot="1">
      <c r="A21" s="53"/>
      <c r="B21" s="61" t="s">
        <v>57</v>
      </c>
      <c r="C21" s="61" t="s">
        <v>58</v>
      </c>
      <c r="D21" s="53"/>
      <c r="E21" s="63"/>
      <c r="F21" s="65"/>
      <c r="G21" s="63"/>
      <c r="H21" s="63"/>
      <c r="I21" s="63"/>
      <c r="J21" s="63"/>
      <c r="K21" s="63"/>
      <c r="L21" s="63"/>
      <c r="M21" s="63"/>
      <c r="N21" s="63"/>
      <c r="O21" s="63"/>
      <c r="P21" s="63"/>
      <c r="Q21" s="66"/>
      <c r="R21" s="63"/>
      <c r="S21" s="63"/>
      <c r="T21" s="63"/>
      <c r="U21" s="53"/>
    </row>
    <row r="22" spans="1:21" ht="17" thickBot="1">
      <c r="A22" s="53"/>
      <c r="B22" s="59">
        <v>5</v>
      </c>
      <c r="C22" s="60" t="s">
        <v>59</v>
      </c>
      <c r="D22" s="53"/>
      <c r="E22" s="63"/>
      <c r="F22" s="304"/>
      <c r="G22" s="305"/>
      <c r="H22" s="305"/>
      <c r="I22" s="305"/>
      <c r="J22" s="305"/>
      <c r="K22" s="305"/>
      <c r="L22" s="305"/>
      <c r="M22" s="305"/>
      <c r="N22" s="305"/>
      <c r="O22" s="305"/>
      <c r="P22" s="305"/>
      <c r="Q22" s="306"/>
      <c r="R22" s="317"/>
      <c r="S22" s="318"/>
      <c r="T22" s="63"/>
      <c r="U22" s="53"/>
    </row>
    <row r="23" spans="1:21" ht="17" thickBot="1">
      <c r="A23" s="53"/>
      <c r="B23" s="59">
        <v>4</v>
      </c>
      <c r="C23" s="60" t="s">
        <v>60</v>
      </c>
      <c r="D23" s="53"/>
      <c r="E23" s="63"/>
      <c r="F23" s="307"/>
      <c r="G23" s="308"/>
      <c r="H23" s="308"/>
      <c r="I23" s="308"/>
      <c r="J23" s="308"/>
      <c r="K23" s="308"/>
      <c r="L23" s="308"/>
      <c r="M23" s="308"/>
      <c r="N23" s="308"/>
      <c r="O23" s="308"/>
      <c r="P23" s="308"/>
      <c r="Q23" s="309"/>
      <c r="R23" s="319"/>
      <c r="S23" s="320"/>
      <c r="T23" s="63"/>
      <c r="U23" s="53"/>
    </row>
    <row r="24" spans="1:21" ht="17" thickBot="1">
      <c r="A24" s="53"/>
      <c r="B24" s="59">
        <v>3</v>
      </c>
      <c r="C24" s="60" t="s">
        <v>61</v>
      </c>
      <c r="D24" s="53"/>
      <c r="E24" s="63"/>
      <c r="F24" s="307"/>
      <c r="G24" s="308"/>
      <c r="H24" s="308"/>
      <c r="I24" s="308"/>
      <c r="J24" s="308"/>
      <c r="K24" s="308"/>
      <c r="L24" s="308"/>
      <c r="M24" s="308"/>
      <c r="N24" s="308"/>
      <c r="O24" s="308"/>
      <c r="P24" s="308"/>
      <c r="Q24" s="309"/>
      <c r="R24" s="319"/>
      <c r="S24" s="320"/>
      <c r="T24" s="63"/>
      <c r="U24" s="53"/>
    </row>
    <row r="25" spans="1:21" ht="17" thickBot="1">
      <c r="A25" s="53"/>
      <c r="B25" s="59">
        <v>2</v>
      </c>
      <c r="C25" s="60" t="s">
        <v>62</v>
      </c>
      <c r="D25" s="53"/>
      <c r="E25" s="63"/>
      <c r="F25" s="307"/>
      <c r="G25" s="308"/>
      <c r="H25" s="308"/>
      <c r="I25" s="308"/>
      <c r="J25" s="308"/>
      <c r="K25" s="308"/>
      <c r="L25" s="308"/>
      <c r="M25" s="308"/>
      <c r="N25" s="308"/>
      <c r="O25" s="308"/>
      <c r="P25" s="308"/>
      <c r="Q25" s="309"/>
      <c r="R25" s="319"/>
      <c r="S25" s="320"/>
      <c r="T25" s="63"/>
      <c r="U25" s="53"/>
    </row>
    <row r="26" spans="1:21" ht="17" thickBot="1">
      <c r="A26" s="53"/>
      <c r="B26" s="59">
        <v>1</v>
      </c>
      <c r="C26" s="60" t="s">
        <v>63</v>
      </c>
      <c r="D26" s="53"/>
      <c r="E26" s="63"/>
      <c r="F26" s="307"/>
      <c r="G26" s="308"/>
      <c r="H26" s="308"/>
      <c r="I26" s="308"/>
      <c r="J26" s="308"/>
      <c r="K26" s="308"/>
      <c r="L26" s="308"/>
      <c r="M26" s="308"/>
      <c r="N26" s="308"/>
      <c r="O26" s="308"/>
      <c r="P26" s="308"/>
      <c r="Q26" s="309"/>
      <c r="R26" s="319"/>
      <c r="S26" s="320"/>
      <c r="T26" s="63"/>
      <c r="U26" s="53"/>
    </row>
    <row r="27" spans="1:21" ht="17" thickBot="1">
      <c r="A27" s="53"/>
      <c r="B27" s="61" t="s">
        <v>64</v>
      </c>
      <c r="C27" s="61" t="s">
        <v>58</v>
      </c>
      <c r="D27" s="53"/>
      <c r="E27" s="63"/>
      <c r="F27" s="307"/>
      <c r="G27" s="308"/>
      <c r="H27" s="308"/>
      <c r="I27" s="308"/>
      <c r="J27" s="308"/>
      <c r="K27" s="308"/>
      <c r="L27" s="308"/>
      <c r="M27" s="308"/>
      <c r="N27" s="308"/>
      <c r="O27" s="308"/>
      <c r="P27" s="308"/>
      <c r="Q27" s="309"/>
      <c r="R27" s="319"/>
      <c r="S27" s="320"/>
      <c r="T27" s="63"/>
      <c r="U27" s="53"/>
    </row>
    <row r="28" spans="1:21" ht="17" thickBot="1">
      <c r="A28" s="53"/>
      <c r="B28" s="59">
        <v>5</v>
      </c>
      <c r="C28" s="60" t="s">
        <v>65</v>
      </c>
      <c r="D28" s="53"/>
      <c r="E28" s="63"/>
      <c r="F28" s="307"/>
      <c r="G28" s="308"/>
      <c r="H28" s="308"/>
      <c r="I28" s="308"/>
      <c r="J28" s="308"/>
      <c r="K28" s="308"/>
      <c r="L28" s="308"/>
      <c r="M28" s="308"/>
      <c r="N28" s="308"/>
      <c r="O28" s="308"/>
      <c r="P28" s="308"/>
      <c r="Q28" s="309"/>
      <c r="R28" s="319"/>
      <c r="S28" s="320"/>
      <c r="T28" s="63"/>
      <c r="U28" s="53"/>
    </row>
    <row r="29" spans="1:21" ht="17" thickBot="1">
      <c r="A29" s="53"/>
      <c r="B29" s="59">
        <v>4</v>
      </c>
      <c r="C29" s="60" t="s">
        <v>66</v>
      </c>
      <c r="D29" s="53"/>
      <c r="E29" s="63"/>
      <c r="F29" s="307"/>
      <c r="G29" s="308"/>
      <c r="H29" s="308"/>
      <c r="I29" s="308"/>
      <c r="J29" s="308"/>
      <c r="K29" s="308"/>
      <c r="L29" s="308"/>
      <c r="M29" s="308"/>
      <c r="N29" s="308"/>
      <c r="O29" s="308"/>
      <c r="P29" s="308"/>
      <c r="Q29" s="309"/>
      <c r="R29" s="319"/>
      <c r="S29" s="320"/>
      <c r="T29" s="63"/>
      <c r="U29" s="53"/>
    </row>
    <row r="30" spans="1:21" ht="17" thickBot="1">
      <c r="A30" s="53"/>
      <c r="B30" s="59">
        <v>3</v>
      </c>
      <c r="C30" s="60" t="s">
        <v>67</v>
      </c>
      <c r="D30" s="53"/>
      <c r="E30" s="63"/>
      <c r="F30" s="307"/>
      <c r="G30" s="308"/>
      <c r="H30" s="308"/>
      <c r="I30" s="308"/>
      <c r="J30" s="308"/>
      <c r="K30" s="308"/>
      <c r="L30" s="308"/>
      <c r="M30" s="308"/>
      <c r="N30" s="308"/>
      <c r="O30" s="308"/>
      <c r="P30" s="308"/>
      <c r="Q30" s="309"/>
      <c r="R30" s="319"/>
      <c r="S30" s="320"/>
      <c r="T30" s="63"/>
      <c r="U30" s="53"/>
    </row>
    <row r="31" spans="1:21" ht="17" thickBot="1">
      <c r="A31" s="53"/>
      <c r="B31" s="59">
        <v>2</v>
      </c>
      <c r="C31" s="60" t="s">
        <v>68</v>
      </c>
      <c r="D31" s="53"/>
      <c r="E31" s="63"/>
      <c r="F31" s="310"/>
      <c r="G31" s="311"/>
      <c r="H31" s="311"/>
      <c r="I31" s="311"/>
      <c r="J31" s="311"/>
      <c r="K31" s="311"/>
      <c r="L31" s="311"/>
      <c r="M31" s="311"/>
      <c r="N31" s="311"/>
      <c r="O31" s="311"/>
      <c r="P31" s="311"/>
      <c r="Q31" s="312"/>
      <c r="R31" s="321"/>
      <c r="S31" s="322"/>
      <c r="T31" s="63"/>
      <c r="U31" s="53"/>
    </row>
    <row r="32" spans="1:21" ht="17" thickBot="1">
      <c r="A32" s="53"/>
      <c r="B32" s="59">
        <v>1</v>
      </c>
      <c r="C32" s="60" t="s">
        <v>69</v>
      </c>
      <c r="D32" s="53"/>
      <c r="E32" s="63"/>
      <c r="F32" s="295"/>
      <c r="G32" s="296"/>
      <c r="H32" s="296"/>
      <c r="I32" s="296"/>
      <c r="J32" s="296"/>
      <c r="K32" s="296"/>
      <c r="L32" s="296"/>
      <c r="M32" s="296"/>
      <c r="N32" s="296"/>
      <c r="O32" s="296"/>
      <c r="P32" s="296"/>
      <c r="Q32" s="297"/>
      <c r="R32" s="289"/>
      <c r="S32" s="290"/>
      <c r="T32" s="63"/>
      <c r="U32" s="53"/>
    </row>
    <row r="33" spans="1:21" ht="15" thickBot="1">
      <c r="A33" s="53"/>
      <c r="B33" s="53"/>
      <c r="C33" s="53"/>
      <c r="D33" s="53"/>
      <c r="E33" s="63"/>
      <c r="F33" s="298"/>
      <c r="G33" s="299"/>
      <c r="H33" s="299"/>
      <c r="I33" s="299"/>
      <c r="J33" s="299"/>
      <c r="K33" s="299"/>
      <c r="L33" s="299"/>
      <c r="M33" s="299"/>
      <c r="N33" s="299"/>
      <c r="O33" s="299"/>
      <c r="P33" s="299"/>
      <c r="Q33" s="300"/>
      <c r="R33" s="291"/>
      <c r="S33" s="292"/>
      <c r="T33" s="63"/>
      <c r="U33" s="53"/>
    </row>
    <row r="34" spans="1:21" ht="15" thickBot="1">
      <c r="A34" s="53"/>
      <c r="B34" s="53"/>
      <c r="C34" s="53"/>
      <c r="D34" s="53"/>
      <c r="E34" s="63"/>
      <c r="F34" s="298"/>
      <c r="G34" s="299"/>
      <c r="H34" s="299"/>
      <c r="I34" s="299"/>
      <c r="J34" s="299"/>
      <c r="K34" s="299"/>
      <c r="L34" s="299"/>
      <c r="M34" s="299"/>
      <c r="N34" s="299"/>
      <c r="O34" s="299"/>
      <c r="P34" s="299"/>
      <c r="Q34" s="300"/>
      <c r="R34" s="291"/>
      <c r="S34" s="292"/>
      <c r="T34" s="63"/>
      <c r="U34" s="53"/>
    </row>
    <row r="35" spans="1:21" ht="15" thickBot="1">
      <c r="A35" s="53"/>
      <c r="B35" s="53"/>
      <c r="C35" s="53"/>
      <c r="D35" s="53"/>
      <c r="E35" s="63"/>
      <c r="F35" s="298"/>
      <c r="G35" s="299"/>
      <c r="H35" s="299"/>
      <c r="I35" s="299"/>
      <c r="J35" s="299"/>
      <c r="K35" s="299"/>
      <c r="L35" s="299"/>
      <c r="M35" s="299"/>
      <c r="N35" s="299"/>
      <c r="O35" s="299"/>
      <c r="P35" s="299"/>
      <c r="Q35" s="300"/>
      <c r="R35" s="291"/>
      <c r="S35" s="292"/>
      <c r="T35" s="63"/>
      <c r="U35" s="53"/>
    </row>
    <row r="36" spans="1:21" ht="15" thickBot="1">
      <c r="A36" s="53"/>
      <c r="B36" s="53" t="s">
        <v>117</v>
      </c>
      <c r="C36" s="53">
        <f>COUNTIF(S5:T16,B36)</f>
        <v>3</v>
      </c>
      <c r="D36" s="53"/>
      <c r="E36" s="63"/>
      <c r="F36" s="298"/>
      <c r="G36" s="299"/>
      <c r="H36" s="299"/>
      <c r="I36" s="299"/>
      <c r="J36" s="299"/>
      <c r="K36" s="299"/>
      <c r="L36" s="299"/>
      <c r="M36" s="299"/>
      <c r="N36" s="299"/>
      <c r="O36" s="299"/>
      <c r="P36" s="299"/>
      <c r="Q36" s="300"/>
      <c r="R36" s="291"/>
      <c r="S36" s="292"/>
      <c r="T36" s="63"/>
      <c r="U36" s="53"/>
    </row>
    <row r="37" spans="1:21" ht="15" thickBot="1">
      <c r="A37" s="53"/>
      <c r="B37" s="53" t="s">
        <v>118</v>
      </c>
      <c r="C37" s="53">
        <f t="shared" ref="C37:C39" si="2">COUNTIF(S6:T17,B37)</f>
        <v>0</v>
      </c>
      <c r="D37" s="53"/>
      <c r="E37" s="63"/>
      <c r="F37" s="298"/>
      <c r="G37" s="299"/>
      <c r="H37" s="299"/>
      <c r="I37" s="299"/>
      <c r="J37" s="299"/>
      <c r="K37" s="299"/>
      <c r="L37" s="299"/>
      <c r="M37" s="299"/>
      <c r="N37" s="299"/>
      <c r="O37" s="299"/>
      <c r="P37" s="299"/>
      <c r="Q37" s="300"/>
      <c r="R37" s="291"/>
      <c r="S37" s="292"/>
      <c r="T37" s="63"/>
      <c r="U37" s="53"/>
    </row>
    <row r="38" spans="1:21" ht="15" thickBot="1">
      <c r="A38" s="53"/>
      <c r="B38" s="53" t="s">
        <v>119</v>
      </c>
      <c r="C38" s="53">
        <f t="shared" si="2"/>
        <v>6</v>
      </c>
      <c r="D38" s="53"/>
      <c r="E38" s="63"/>
      <c r="F38" s="298"/>
      <c r="G38" s="299"/>
      <c r="H38" s="299"/>
      <c r="I38" s="299"/>
      <c r="J38" s="299"/>
      <c r="K38" s="299"/>
      <c r="L38" s="299"/>
      <c r="M38" s="299"/>
      <c r="N38" s="299"/>
      <c r="O38" s="299"/>
      <c r="P38" s="299"/>
      <c r="Q38" s="300"/>
      <c r="R38" s="291"/>
      <c r="S38" s="292"/>
      <c r="T38" s="63"/>
      <c r="U38" s="53"/>
    </row>
    <row r="39" spans="1:21" ht="15" thickBot="1">
      <c r="A39" s="53"/>
      <c r="B39" s="53" t="s">
        <v>120</v>
      </c>
      <c r="C39" s="53">
        <f t="shared" si="2"/>
        <v>2</v>
      </c>
      <c r="D39" s="53"/>
      <c r="E39" s="63"/>
      <c r="F39" s="298"/>
      <c r="G39" s="299"/>
      <c r="H39" s="299"/>
      <c r="I39" s="299"/>
      <c r="J39" s="299"/>
      <c r="K39" s="299"/>
      <c r="L39" s="299"/>
      <c r="M39" s="299"/>
      <c r="N39" s="299"/>
      <c r="O39" s="299"/>
      <c r="P39" s="299"/>
      <c r="Q39" s="300"/>
      <c r="R39" s="291"/>
      <c r="S39" s="292"/>
      <c r="T39" s="63"/>
      <c r="U39" s="53"/>
    </row>
    <row r="40" spans="1:21" ht="15" thickBot="1">
      <c r="A40" s="53"/>
      <c r="B40" s="53" t="s">
        <v>122</v>
      </c>
      <c r="C40" s="53">
        <f>SUM(C36:C39)</f>
        <v>11</v>
      </c>
      <c r="D40" s="53"/>
      <c r="E40" s="63"/>
      <c r="F40" s="298"/>
      <c r="G40" s="299"/>
      <c r="H40" s="299"/>
      <c r="I40" s="299"/>
      <c r="J40" s="299"/>
      <c r="K40" s="299"/>
      <c r="L40" s="299"/>
      <c r="M40" s="299"/>
      <c r="N40" s="299"/>
      <c r="O40" s="299"/>
      <c r="P40" s="299"/>
      <c r="Q40" s="300"/>
      <c r="R40" s="291"/>
      <c r="S40" s="292"/>
      <c r="T40" s="63"/>
      <c r="U40" s="53"/>
    </row>
    <row r="41" spans="1:21" ht="21">
      <c r="A41" s="53"/>
      <c r="B41" s="53" t="str">
        <f>CONCATENATE(B36," = ",C36)</f>
        <v>PRIORIDAD 1 = 3</v>
      </c>
      <c r="C41" s="53"/>
      <c r="D41" s="53"/>
      <c r="E41" s="63"/>
      <c r="F41" s="301"/>
      <c r="G41" s="302"/>
      <c r="H41" s="302"/>
      <c r="I41" s="302"/>
      <c r="J41" s="302"/>
      <c r="K41" s="302"/>
      <c r="L41" s="302"/>
      <c r="M41" s="302"/>
      <c r="N41" s="302"/>
      <c r="O41" s="302"/>
      <c r="P41" s="302"/>
      <c r="Q41" s="303"/>
      <c r="R41" s="293"/>
      <c r="S41" s="294"/>
      <c r="T41" s="63"/>
      <c r="U41" s="62"/>
    </row>
    <row r="42" spans="1:21">
      <c r="A42" s="53"/>
      <c r="B42" s="53" t="str">
        <f>CONCATENATE(B37," = ",C37)</f>
        <v>PRIORIDAD 2 = 0</v>
      </c>
      <c r="C42" s="53"/>
      <c r="D42" s="53"/>
      <c r="E42" s="63"/>
      <c r="F42" s="64"/>
      <c r="G42" s="64"/>
      <c r="H42" s="64"/>
      <c r="I42" s="64"/>
      <c r="J42" s="64"/>
      <c r="K42" s="64"/>
      <c r="L42" s="64"/>
      <c r="M42" s="64"/>
      <c r="N42" s="64"/>
      <c r="O42" s="64"/>
      <c r="P42" s="64"/>
      <c r="Q42" s="63"/>
      <c r="R42" s="64"/>
      <c r="S42" s="63"/>
      <c r="T42" s="63"/>
      <c r="U42" s="53"/>
    </row>
    <row r="43" spans="1:21" ht="15" customHeight="1">
      <c r="A43" s="53"/>
      <c r="B43" s="53" t="str">
        <f>CONCATENATE(B38," = ",C38)</f>
        <v>PRIORIDAD 3 = 6</v>
      </c>
      <c r="C43" s="53"/>
      <c r="D43" s="53"/>
      <c r="E43" s="63"/>
      <c r="F43" s="63"/>
      <c r="G43" s="63"/>
      <c r="H43" s="63"/>
      <c r="I43" s="63"/>
      <c r="J43" s="63"/>
      <c r="K43" s="63"/>
      <c r="L43" s="63"/>
      <c r="M43" s="63"/>
      <c r="N43" s="63"/>
      <c r="O43" s="63"/>
      <c r="P43" s="63"/>
      <c r="Q43" s="63"/>
      <c r="R43" s="63"/>
      <c r="S43" s="63"/>
      <c r="T43" s="63"/>
      <c r="U43" s="53"/>
    </row>
    <row r="44" spans="1:21">
      <c r="A44" s="53"/>
      <c r="B44" s="53" t="str">
        <f>CONCATENATE(B39," = ",C39)</f>
        <v>PRIORIDAD 4 = 2</v>
      </c>
      <c r="C44" s="53"/>
      <c r="D44" s="53"/>
      <c r="E44" s="63"/>
      <c r="F44" s="63"/>
      <c r="G44" s="63"/>
      <c r="H44" s="63"/>
      <c r="I44" s="63"/>
      <c r="J44" s="63"/>
      <c r="K44" s="63"/>
      <c r="L44" s="63"/>
      <c r="M44" s="63"/>
      <c r="N44" s="63"/>
      <c r="O44" s="63"/>
      <c r="P44" s="63"/>
      <c r="Q44" s="63"/>
      <c r="R44" s="63"/>
      <c r="S44" s="63"/>
      <c r="T44" s="63"/>
      <c r="U44" s="53"/>
    </row>
    <row r="45" spans="1:21">
      <c r="A45" s="53"/>
      <c r="B45" s="53" t="str">
        <f>CONCATENATE(B40," = ",C40)</f>
        <v>Total = 11</v>
      </c>
      <c r="C45" s="53"/>
      <c r="D45" s="53"/>
      <c r="E45" s="63"/>
      <c r="F45" s="63"/>
      <c r="G45" s="63"/>
      <c r="H45" s="63"/>
      <c r="I45" s="63"/>
      <c r="J45" s="63"/>
      <c r="K45" s="63"/>
      <c r="L45" s="63"/>
      <c r="M45" s="63"/>
      <c r="N45" s="63"/>
      <c r="O45" s="63"/>
      <c r="P45" s="63"/>
      <c r="Q45" s="63"/>
      <c r="R45" s="63"/>
      <c r="S45" s="63"/>
      <c r="T45" s="63"/>
      <c r="U45" s="53"/>
    </row>
    <row r="46" spans="1:21">
      <c r="A46" s="53"/>
      <c r="B46" s="53"/>
      <c r="C46" s="53"/>
      <c r="D46" s="53"/>
      <c r="E46" s="63"/>
      <c r="F46" s="63"/>
      <c r="G46" s="63"/>
      <c r="H46" s="63"/>
      <c r="I46" s="63"/>
      <c r="J46" s="63"/>
      <c r="K46" s="63"/>
      <c r="L46" s="63"/>
      <c r="M46" s="63"/>
      <c r="N46" s="63"/>
      <c r="O46" s="63"/>
      <c r="P46" s="63"/>
      <c r="Q46" s="63"/>
      <c r="R46" s="63"/>
      <c r="S46" s="63"/>
      <c r="T46" s="63"/>
      <c r="U46" s="53"/>
    </row>
    <row r="47" spans="1:21">
      <c r="A47" s="53"/>
      <c r="B47" s="53"/>
      <c r="C47" s="53"/>
      <c r="D47" s="53"/>
      <c r="E47" s="63"/>
      <c r="F47" s="63"/>
      <c r="G47" s="63"/>
      <c r="H47" s="63"/>
      <c r="I47" s="63"/>
      <c r="J47" s="63"/>
      <c r="K47" s="63"/>
      <c r="L47" s="63"/>
      <c r="M47" s="63"/>
      <c r="N47" s="63"/>
      <c r="O47" s="63"/>
      <c r="P47" s="63"/>
      <c r="Q47" s="63"/>
      <c r="R47" s="63"/>
      <c r="S47" s="63"/>
      <c r="T47" s="63"/>
      <c r="U47" s="53"/>
    </row>
    <row r="48" spans="1:21">
      <c r="A48" s="53"/>
      <c r="B48" s="53"/>
      <c r="C48" s="53"/>
      <c r="D48" s="53"/>
      <c r="E48" s="63"/>
      <c r="F48" s="63"/>
      <c r="G48" s="63"/>
      <c r="H48" s="63"/>
      <c r="I48" s="63"/>
      <c r="J48" s="63"/>
      <c r="K48" s="63"/>
      <c r="L48" s="63"/>
      <c r="M48" s="63"/>
      <c r="N48" s="63"/>
      <c r="O48" s="63"/>
      <c r="P48" s="63"/>
      <c r="Q48" s="63"/>
      <c r="R48" s="63"/>
      <c r="S48" s="63"/>
      <c r="T48" s="63"/>
      <c r="U48" s="53"/>
    </row>
    <row r="49" spans="1:21">
      <c r="A49" s="53"/>
      <c r="B49" s="53"/>
      <c r="C49" s="53"/>
      <c r="D49" s="53"/>
      <c r="E49" s="63"/>
      <c r="F49" s="63"/>
      <c r="G49" s="63"/>
      <c r="H49" s="63"/>
      <c r="I49" s="63"/>
      <c r="J49" s="63"/>
      <c r="K49" s="63"/>
      <c r="L49" s="63"/>
      <c r="M49" s="63"/>
      <c r="N49" s="63"/>
      <c r="O49" s="63"/>
      <c r="P49" s="63"/>
      <c r="Q49" s="63"/>
      <c r="R49" s="63"/>
      <c r="S49" s="63"/>
      <c r="T49" s="63"/>
      <c r="U49" s="53"/>
    </row>
    <row r="50" spans="1:21">
      <c r="A50" s="53"/>
      <c r="B50" s="53"/>
      <c r="C50" s="53"/>
      <c r="D50" s="53"/>
      <c r="E50" s="63"/>
      <c r="F50" s="63"/>
      <c r="G50" s="63"/>
      <c r="H50" s="63"/>
      <c r="I50" s="63"/>
      <c r="J50" s="63"/>
      <c r="K50" s="63"/>
      <c r="L50" s="63"/>
      <c r="M50" s="63"/>
      <c r="N50" s="63"/>
      <c r="O50" s="63"/>
      <c r="P50" s="63"/>
      <c r="Q50" s="63"/>
      <c r="R50" s="63"/>
      <c r="S50" s="63"/>
      <c r="T50" s="63"/>
      <c r="U50" s="53"/>
    </row>
    <row r="51" spans="1:21">
      <c r="A51" s="53"/>
      <c r="B51" s="53"/>
      <c r="C51" s="53"/>
      <c r="D51" s="53"/>
      <c r="E51" s="63"/>
      <c r="F51" s="63"/>
      <c r="G51" s="63"/>
      <c r="H51" s="63"/>
      <c r="I51" s="63"/>
      <c r="J51" s="63"/>
      <c r="K51" s="63"/>
      <c r="L51" s="63"/>
      <c r="M51" s="63"/>
      <c r="N51" s="63"/>
      <c r="O51" s="63"/>
      <c r="P51" s="63"/>
      <c r="Q51" s="63"/>
      <c r="R51" s="63"/>
      <c r="S51" s="63"/>
      <c r="T51" s="63"/>
      <c r="U51" s="53"/>
    </row>
    <row r="52" spans="1:21">
      <c r="A52" s="53"/>
      <c r="B52" s="53"/>
      <c r="C52" s="53"/>
      <c r="D52" s="53"/>
      <c r="E52" s="63"/>
      <c r="F52" s="63"/>
      <c r="G52" s="63"/>
      <c r="H52" s="63"/>
      <c r="I52" s="63"/>
      <c r="J52" s="63"/>
      <c r="K52" s="63"/>
      <c r="L52" s="63"/>
      <c r="M52" s="63"/>
      <c r="N52" s="63"/>
      <c r="O52" s="63"/>
      <c r="P52" s="63"/>
      <c r="Q52" s="63"/>
      <c r="R52" s="63"/>
      <c r="S52" s="63"/>
      <c r="T52" s="63"/>
      <c r="U52" s="53"/>
    </row>
    <row r="53" spans="1:21">
      <c r="A53" s="53"/>
      <c r="B53" s="53"/>
      <c r="C53" s="53"/>
      <c r="D53" s="53"/>
      <c r="E53" s="63"/>
      <c r="F53" s="63"/>
      <c r="G53" s="63"/>
      <c r="H53" s="63"/>
      <c r="I53" s="63"/>
      <c r="J53" s="63"/>
      <c r="K53" s="63"/>
      <c r="L53" s="63"/>
      <c r="M53" s="63"/>
      <c r="N53" s="63"/>
      <c r="O53" s="63"/>
      <c r="P53" s="63"/>
      <c r="Q53" s="63"/>
      <c r="R53" s="63"/>
      <c r="S53" s="63"/>
      <c r="T53" s="63"/>
      <c r="U53" s="53"/>
    </row>
    <row r="54" spans="1:21">
      <c r="A54" s="53"/>
      <c r="B54" s="53"/>
      <c r="C54" s="53"/>
      <c r="D54" s="53"/>
      <c r="E54" s="63"/>
      <c r="F54" s="63"/>
      <c r="G54" s="63"/>
      <c r="H54" s="63"/>
      <c r="I54" s="63"/>
      <c r="J54" s="63"/>
      <c r="K54" s="63"/>
      <c r="L54" s="63"/>
      <c r="M54" s="63"/>
      <c r="N54" s="63"/>
      <c r="O54" s="63"/>
      <c r="P54" s="63"/>
      <c r="Q54" s="63"/>
      <c r="R54" s="63"/>
      <c r="S54" s="63"/>
      <c r="T54" s="63"/>
      <c r="U54" s="53"/>
    </row>
    <row r="55" spans="1:21">
      <c r="A55" s="53"/>
      <c r="B55" s="53"/>
      <c r="C55" s="53"/>
      <c r="D55" s="53"/>
      <c r="E55" s="63"/>
      <c r="F55" s="63"/>
      <c r="G55" s="63"/>
      <c r="H55" s="63"/>
      <c r="I55" s="63"/>
      <c r="J55" s="63"/>
      <c r="K55" s="63"/>
      <c r="L55" s="63"/>
      <c r="M55" s="63"/>
      <c r="N55" s="63"/>
      <c r="O55" s="63"/>
      <c r="P55" s="63"/>
      <c r="Q55" s="63"/>
      <c r="R55" s="63"/>
      <c r="S55" s="63"/>
      <c r="T55" s="63"/>
      <c r="U55" s="53"/>
    </row>
    <row r="56" spans="1:21">
      <c r="A56" s="53"/>
      <c r="B56" s="53"/>
      <c r="C56" s="53"/>
      <c r="D56" s="53"/>
      <c r="E56" s="53"/>
      <c r="F56" s="53"/>
      <c r="G56" s="53"/>
      <c r="H56" s="53"/>
      <c r="I56" s="53"/>
      <c r="J56" s="53"/>
      <c r="K56" s="53"/>
      <c r="L56" s="53"/>
      <c r="M56" s="53"/>
      <c r="N56" s="53"/>
      <c r="O56" s="53"/>
      <c r="P56" s="53"/>
      <c r="Q56" s="53"/>
      <c r="R56" s="53"/>
      <c r="S56" s="53"/>
      <c r="T56" s="53"/>
      <c r="U56" s="53"/>
    </row>
    <row r="57" spans="1:21" ht="40" customHeight="1">
      <c r="A57" s="327" t="s">
        <v>77</v>
      </c>
      <c r="B57" s="327"/>
      <c r="C57" s="327"/>
      <c r="D57" s="327"/>
      <c r="E57" s="327"/>
      <c r="F57" s="327"/>
      <c r="G57" s="327"/>
      <c r="H57" s="327"/>
      <c r="I57" s="327"/>
      <c r="J57" s="327"/>
      <c r="K57" s="327"/>
      <c r="L57" s="327"/>
      <c r="M57" s="327"/>
      <c r="N57" s="327"/>
      <c r="O57" s="327"/>
      <c r="P57" s="327"/>
      <c r="Q57" s="327"/>
      <c r="R57" s="327"/>
      <c r="S57" s="327"/>
      <c r="T57" s="327"/>
      <c r="U57" s="327"/>
    </row>
    <row r="58" spans="1:21">
      <c r="A58" s="53"/>
      <c r="B58" s="53"/>
      <c r="C58" s="53"/>
      <c r="D58" s="53"/>
      <c r="E58" s="53"/>
      <c r="F58" s="53"/>
      <c r="G58" s="53"/>
      <c r="H58" s="53"/>
      <c r="I58" s="53"/>
      <c r="J58" s="53"/>
      <c r="K58" s="53"/>
      <c r="L58" s="53"/>
      <c r="M58" s="53"/>
      <c r="N58" s="53"/>
      <c r="O58" s="53"/>
      <c r="P58" s="53"/>
      <c r="Q58" s="53"/>
      <c r="R58" s="53"/>
      <c r="S58" s="53"/>
      <c r="T58" s="53"/>
      <c r="U58" s="53"/>
    </row>
    <row r="59" spans="1:21" ht="26">
      <c r="A59" s="53"/>
      <c r="B59" s="67" t="s">
        <v>99</v>
      </c>
      <c r="C59" s="68"/>
      <c r="D59" s="68"/>
      <c r="E59" s="68"/>
      <c r="F59" s="53"/>
      <c r="G59" s="67" t="s">
        <v>101</v>
      </c>
      <c r="H59" s="68"/>
      <c r="I59" s="68"/>
      <c r="J59" s="68"/>
      <c r="K59" s="68"/>
      <c r="L59" s="68"/>
      <c r="M59" s="68"/>
      <c r="N59" s="68"/>
      <c r="O59" s="68"/>
      <c r="P59" s="68"/>
      <c r="Q59" s="68"/>
      <c r="R59" s="68"/>
      <c r="S59" s="68"/>
      <c r="T59" s="68"/>
      <c r="U59" s="53"/>
    </row>
    <row r="60" spans="1:21" ht="21.5" customHeight="1">
      <c r="A60" s="53"/>
      <c r="B60" s="70" t="s">
        <v>78</v>
      </c>
      <c r="C60" s="68"/>
      <c r="D60" s="68"/>
      <c r="E60" s="68"/>
      <c r="F60" s="53"/>
      <c r="G60" s="70" t="s">
        <v>89</v>
      </c>
      <c r="H60" s="68"/>
      <c r="I60" s="68"/>
      <c r="J60" s="68"/>
      <c r="K60" s="68"/>
      <c r="L60" s="68"/>
      <c r="M60" s="68"/>
      <c r="N60" s="68"/>
      <c r="O60" s="68"/>
      <c r="P60" s="68"/>
      <c r="Q60" s="68"/>
      <c r="R60" s="68"/>
      <c r="S60" s="68"/>
      <c r="T60" s="68"/>
      <c r="U60" s="53"/>
    </row>
    <row r="61" spans="1:21" s="47" customFormat="1" ht="45.5" customHeight="1">
      <c r="A61" s="53"/>
      <c r="B61" s="330" t="s">
        <v>79</v>
      </c>
      <c r="C61" s="330"/>
      <c r="D61" s="330"/>
      <c r="E61" s="330"/>
      <c r="F61" s="53"/>
      <c r="G61" s="329" t="s">
        <v>90</v>
      </c>
      <c r="H61" s="329"/>
      <c r="I61" s="329"/>
      <c r="J61" s="329"/>
      <c r="K61" s="329"/>
      <c r="L61" s="329"/>
      <c r="M61" s="329"/>
      <c r="N61" s="329"/>
      <c r="O61" s="329"/>
      <c r="P61" s="329"/>
      <c r="Q61" s="329"/>
      <c r="R61" s="329"/>
      <c r="S61" s="329"/>
      <c r="T61" s="329"/>
      <c r="U61" s="53"/>
    </row>
    <row r="62" spans="1:21" s="47" customFormat="1" ht="21">
      <c r="A62" s="53"/>
      <c r="B62" s="71" t="s">
        <v>80</v>
      </c>
      <c r="C62" s="69"/>
      <c r="D62" s="69"/>
      <c r="E62" s="69"/>
      <c r="F62" s="53"/>
      <c r="G62" s="71" t="s">
        <v>80</v>
      </c>
      <c r="H62" s="69"/>
      <c r="I62" s="69"/>
      <c r="J62" s="69"/>
      <c r="K62" s="69"/>
      <c r="L62" s="69"/>
      <c r="M62" s="69"/>
      <c r="N62" s="69"/>
      <c r="O62" s="69"/>
      <c r="P62" s="69"/>
      <c r="Q62" s="69"/>
      <c r="R62" s="69"/>
      <c r="S62" s="69"/>
      <c r="T62" s="69"/>
      <c r="U62" s="53"/>
    </row>
    <row r="63" spans="1:21" s="47" customFormat="1" ht="21">
      <c r="A63" s="53"/>
      <c r="B63" s="73" t="s">
        <v>81</v>
      </c>
      <c r="C63" s="74"/>
      <c r="D63" s="69"/>
      <c r="E63" s="69"/>
      <c r="F63" s="53"/>
      <c r="G63" s="73" t="s">
        <v>91</v>
      </c>
      <c r="H63" s="74"/>
      <c r="I63" s="69"/>
      <c r="J63" s="69"/>
      <c r="K63" s="69"/>
      <c r="L63" s="69"/>
      <c r="M63" s="69"/>
      <c r="N63" s="69"/>
      <c r="O63" s="69"/>
      <c r="P63" s="69"/>
      <c r="Q63" s="69"/>
      <c r="R63" s="69"/>
      <c r="S63" s="69"/>
      <c r="T63" s="69"/>
      <c r="U63" s="53"/>
    </row>
    <row r="64" spans="1:21" s="47" customFormat="1" ht="21">
      <c r="A64" s="53"/>
      <c r="B64" s="73" t="s">
        <v>82</v>
      </c>
      <c r="C64" s="74"/>
      <c r="D64" s="69"/>
      <c r="E64" s="69"/>
      <c r="F64" s="53"/>
      <c r="G64" s="73" t="s">
        <v>92</v>
      </c>
      <c r="H64" s="74"/>
      <c r="I64" s="69"/>
      <c r="J64" s="69"/>
      <c r="K64" s="69"/>
      <c r="L64" s="69"/>
      <c r="M64" s="69"/>
      <c r="N64" s="69"/>
      <c r="O64" s="69"/>
      <c r="P64" s="69"/>
      <c r="Q64" s="69"/>
      <c r="R64" s="69"/>
      <c r="S64" s="69"/>
      <c r="T64" s="69"/>
      <c r="U64" s="53"/>
    </row>
    <row r="65" spans="1:21" s="47" customFormat="1" ht="21">
      <c r="A65" s="53"/>
      <c r="B65" s="73" t="s">
        <v>83</v>
      </c>
      <c r="C65" s="74"/>
      <c r="D65" s="69"/>
      <c r="E65" s="69"/>
      <c r="F65" s="53"/>
      <c r="G65" s="73" t="s">
        <v>93</v>
      </c>
      <c r="H65" s="74"/>
      <c r="I65" s="69"/>
      <c r="J65" s="69"/>
      <c r="K65" s="69"/>
      <c r="L65" s="69"/>
      <c r="M65" s="69"/>
      <c r="N65" s="69"/>
      <c r="O65" s="69"/>
      <c r="P65" s="69"/>
      <c r="Q65" s="69"/>
      <c r="R65" s="69"/>
      <c r="S65" s="69"/>
      <c r="T65" s="69"/>
      <c r="U65" s="53"/>
    </row>
    <row r="66" spans="1:21">
      <c r="A66" s="53"/>
      <c r="B66" s="53"/>
      <c r="C66" s="53"/>
      <c r="D66" s="53"/>
      <c r="E66" s="53"/>
      <c r="F66" s="53"/>
      <c r="G66" s="53"/>
      <c r="H66" s="53"/>
      <c r="I66" s="53"/>
      <c r="J66" s="53"/>
      <c r="K66" s="53"/>
      <c r="L66" s="53"/>
      <c r="M66" s="53"/>
      <c r="N66" s="53"/>
      <c r="O66" s="53"/>
      <c r="P66" s="53"/>
      <c r="Q66" s="53"/>
      <c r="R66" s="53"/>
      <c r="S66" s="53"/>
      <c r="T66" s="53"/>
      <c r="U66" s="53"/>
    </row>
    <row r="67" spans="1:21" ht="26">
      <c r="A67" s="53"/>
      <c r="B67" s="67" t="s">
        <v>100</v>
      </c>
      <c r="C67" s="68"/>
      <c r="D67" s="68"/>
      <c r="E67" s="68"/>
      <c r="F67" s="53"/>
      <c r="G67" s="67" t="s">
        <v>107</v>
      </c>
      <c r="H67" s="68"/>
      <c r="I67" s="68"/>
      <c r="J67" s="68"/>
      <c r="K67" s="68"/>
      <c r="L67" s="68"/>
      <c r="M67" s="68"/>
      <c r="N67" s="68"/>
      <c r="O67" s="68"/>
      <c r="P67" s="68"/>
      <c r="Q67" s="68"/>
      <c r="R67" s="68"/>
      <c r="S67" s="68"/>
      <c r="T67" s="68"/>
      <c r="U67" s="53"/>
    </row>
    <row r="68" spans="1:21" ht="20.5">
      <c r="A68" s="53"/>
      <c r="B68" s="70" t="s">
        <v>84</v>
      </c>
      <c r="C68" s="68"/>
      <c r="D68" s="68"/>
      <c r="E68" s="68"/>
      <c r="F68" s="53"/>
      <c r="G68" s="70" t="s">
        <v>94</v>
      </c>
      <c r="H68" s="72"/>
      <c r="I68" s="68"/>
      <c r="J68" s="68"/>
      <c r="K68" s="68"/>
      <c r="L68" s="68"/>
      <c r="M68" s="68"/>
      <c r="N68" s="68"/>
      <c r="O68" s="68"/>
      <c r="P68" s="68"/>
      <c r="Q68" s="68"/>
      <c r="R68" s="68"/>
      <c r="S68" s="68"/>
      <c r="T68" s="68"/>
      <c r="U68" s="53"/>
    </row>
    <row r="69" spans="1:21" s="47" customFormat="1" ht="21" customHeight="1">
      <c r="A69" s="53"/>
      <c r="B69" s="331" t="s">
        <v>85</v>
      </c>
      <c r="C69" s="331"/>
      <c r="D69" s="331"/>
      <c r="E69" s="331"/>
      <c r="F69" s="53"/>
      <c r="G69" s="329" t="s">
        <v>95</v>
      </c>
      <c r="H69" s="329"/>
      <c r="I69" s="329"/>
      <c r="J69" s="329"/>
      <c r="K69" s="329"/>
      <c r="L69" s="329"/>
      <c r="M69" s="329"/>
      <c r="N69" s="329"/>
      <c r="O69" s="329"/>
      <c r="P69" s="329"/>
      <c r="Q69" s="329"/>
      <c r="R69" s="329"/>
      <c r="S69" s="329"/>
      <c r="T69" s="329"/>
      <c r="U69" s="53"/>
    </row>
    <row r="70" spans="1:21" s="47" customFormat="1" ht="21">
      <c r="A70" s="53"/>
      <c r="B70" s="71" t="s">
        <v>80</v>
      </c>
      <c r="C70" s="69"/>
      <c r="D70" s="69"/>
      <c r="E70" s="69"/>
      <c r="F70" s="53"/>
      <c r="G70" s="71" t="s">
        <v>80</v>
      </c>
      <c r="H70" s="69"/>
      <c r="I70" s="69"/>
      <c r="J70" s="69"/>
      <c r="K70" s="69"/>
      <c r="L70" s="69"/>
      <c r="M70" s="69"/>
      <c r="N70" s="69"/>
      <c r="O70" s="69"/>
      <c r="P70" s="69"/>
      <c r="Q70" s="69"/>
      <c r="R70" s="69"/>
      <c r="S70" s="69"/>
      <c r="T70" s="69"/>
      <c r="U70" s="53"/>
    </row>
    <row r="71" spans="1:21" s="47" customFormat="1" ht="21">
      <c r="A71" s="53"/>
      <c r="B71" s="73" t="s">
        <v>86</v>
      </c>
      <c r="C71" s="69"/>
      <c r="D71" s="69"/>
      <c r="E71" s="69"/>
      <c r="F71" s="53"/>
      <c r="G71" s="73" t="s">
        <v>96</v>
      </c>
      <c r="H71" s="74"/>
      <c r="I71" s="69"/>
      <c r="J71" s="69"/>
      <c r="K71" s="69"/>
      <c r="L71" s="69"/>
      <c r="M71" s="69"/>
      <c r="N71" s="69"/>
      <c r="O71" s="69"/>
      <c r="P71" s="69"/>
      <c r="Q71" s="69"/>
      <c r="R71" s="69"/>
      <c r="S71" s="69"/>
      <c r="T71" s="69"/>
      <c r="U71" s="53"/>
    </row>
    <row r="72" spans="1:21" s="47" customFormat="1" ht="21">
      <c r="A72" s="53"/>
      <c r="B72" s="73" t="s">
        <v>87</v>
      </c>
      <c r="C72" s="69"/>
      <c r="D72" s="69"/>
      <c r="E72" s="69"/>
      <c r="F72" s="53"/>
      <c r="G72" s="73" t="s">
        <v>97</v>
      </c>
      <c r="H72" s="74"/>
      <c r="I72" s="69"/>
      <c r="J72" s="69"/>
      <c r="K72" s="69"/>
      <c r="L72" s="69"/>
      <c r="M72" s="69"/>
      <c r="N72" s="69"/>
      <c r="O72" s="69"/>
      <c r="P72" s="69"/>
      <c r="Q72" s="69"/>
      <c r="R72" s="69"/>
      <c r="S72" s="69"/>
      <c r="T72" s="69"/>
      <c r="U72" s="53"/>
    </row>
    <row r="73" spans="1:21" s="47" customFormat="1" ht="21">
      <c r="A73" s="53"/>
      <c r="B73" s="73" t="s">
        <v>88</v>
      </c>
      <c r="C73" s="69"/>
      <c r="D73" s="69"/>
      <c r="E73" s="69"/>
      <c r="F73" s="53"/>
      <c r="G73" s="73" t="s">
        <v>98</v>
      </c>
      <c r="H73" s="74"/>
      <c r="I73" s="69"/>
      <c r="J73" s="69"/>
      <c r="K73" s="69"/>
      <c r="L73" s="69"/>
      <c r="M73" s="69"/>
      <c r="N73" s="69"/>
      <c r="O73" s="69"/>
      <c r="P73" s="69"/>
      <c r="Q73" s="69"/>
      <c r="R73" s="69"/>
      <c r="S73" s="69"/>
      <c r="T73" s="69"/>
      <c r="U73" s="53"/>
    </row>
    <row r="74" spans="1:21" s="47" customFormat="1" ht="18.5">
      <c r="A74" s="53"/>
      <c r="B74" s="53"/>
      <c r="C74" s="53"/>
      <c r="D74" s="53"/>
      <c r="E74" s="53"/>
      <c r="F74" s="53"/>
      <c r="G74" s="53"/>
      <c r="H74" s="53"/>
      <c r="I74" s="53"/>
      <c r="J74" s="53"/>
      <c r="K74" s="53"/>
      <c r="L74" s="53"/>
      <c r="M74" s="53"/>
      <c r="N74" s="53"/>
      <c r="O74" s="53"/>
      <c r="P74" s="53"/>
      <c r="Q74" s="53"/>
      <c r="R74" s="53"/>
      <c r="S74" s="53"/>
      <c r="T74" s="53"/>
      <c r="U74" s="53"/>
    </row>
  </sheetData>
  <mergeCells count="76">
    <mergeCell ref="G69:T69"/>
    <mergeCell ref="G61:T61"/>
    <mergeCell ref="B61:E61"/>
    <mergeCell ref="B69:E69"/>
    <mergeCell ref="S6:T6"/>
    <mergeCell ref="E18:T19"/>
    <mergeCell ref="F7:H7"/>
    <mergeCell ref="I7:K7"/>
    <mergeCell ref="L7:N7"/>
    <mergeCell ref="S16:T16"/>
    <mergeCell ref="S15:T15"/>
    <mergeCell ref="S14:T14"/>
    <mergeCell ref="S11:T11"/>
    <mergeCell ref="S10:T10"/>
    <mergeCell ref="S9:T9"/>
    <mergeCell ref="I8:K8"/>
    <mergeCell ref="A2:U2"/>
    <mergeCell ref="A57:U57"/>
    <mergeCell ref="S5:T5"/>
    <mergeCell ref="S4:T4"/>
    <mergeCell ref="S8:T8"/>
    <mergeCell ref="S7:T7"/>
    <mergeCell ref="L4:N4"/>
    <mergeCell ref="I4:K4"/>
    <mergeCell ref="F4:H4"/>
    <mergeCell ref="F6:H6"/>
    <mergeCell ref="I6:K6"/>
    <mergeCell ref="L6:N6"/>
    <mergeCell ref="L5:N5"/>
    <mergeCell ref="I5:K5"/>
    <mergeCell ref="F5:H5"/>
    <mergeCell ref="F8:H8"/>
    <mergeCell ref="L8:N8"/>
    <mergeCell ref="O4:R4"/>
    <mergeCell ref="O5:R5"/>
    <mergeCell ref="O6:R6"/>
    <mergeCell ref="O7:R7"/>
    <mergeCell ref="O8:R8"/>
    <mergeCell ref="F11:H11"/>
    <mergeCell ref="I11:K11"/>
    <mergeCell ref="L11:N11"/>
    <mergeCell ref="O11:R11"/>
    <mergeCell ref="F9:H9"/>
    <mergeCell ref="I9:K9"/>
    <mergeCell ref="L9:N9"/>
    <mergeCell ref="O9:R9"/>
    <mergeCell ref="F10:H10"/>
    <mergeCell ref="I10:K10"/>
    <mergeCell ref="L10:N10"/>
    <mergeCell ref="O10:R10"/>
    <mergeCell ref="F12:H12"/>
    <mergeCell ref="I12:K12"/>
    <mergeCell ref="L12:N12"/>
    <mergeCell ref="O12:R12"/>
    <mergeCell ref="R22:S31"/>
    <mergeCell ref="F13:H13"/>
    <mergeCell ref="I13:K13"/>
    <mergeCell ref="L13:N13"/>
    <mergeCell ref="O13:R13"/>
    <mergeCell ref="F14:H14"/>
    <mergeCell ref="I14:K14"/>
    <mergeCell ref="L14:N14"/>
    <mergeCell ref="O14:R14"/>
    <mergeCell ref="S13:T13"/>
    <mergeCell ref="S12:T12"/>
    <mergeCell ref="R32:S41"/>
    <mergeCell ref="F32:Q41"/>
    <mergeCell ref="F22:Q31"/>
    <mergeCell ref="F15:H15"/>
    <mergeCell ref="I15:K15"/>
    <mergeCell ref="L15:N15"/>
    <mergeCell ref="O15:R15"/>
    <mergeCell ref="F16:H16"/>
    <mergeCell ref="I16:K16"/>
    <mergeCell ref="L16:N16"/>
    <mergeCell ref="O16:R16"/>
  </mergeCells>
  <phoneticPr fontId="41" type="noConversion"/>
  <conditionalFormatting sqref="F5:H16">
    <cfRule type="containsText" dxfId="15" priority="1" operator="containsText" text="Finalizada">
      <formula>NOT(ISERROR(SEARCH("Finalizada",F5)))</formula>
    </cfRule>
    <cfRule type="containsText" dxfId="14" priority="2" operator="containsText" text="Atrasada">
      <formula>NOT(ISERROR(SEARCH("Atrasada",F5)))</formula>
    </cfRule>
    <cfRule type="containsText" dxfId="13" priority="3" operator="containsText" text="En Proceso">
      <formula>NOT(ISERROR(SEARCH("En Proceso",F5)))</formula>
    </cfRule>
    <cfRule type="containsText" dxfId="12" priority="4" operator="containsText" text="Por Iniciar">
      <formula>NOT(ISERROR(SEARCH("Por Iniciar",F5)))</formula>
    </cfRule>
  </conditionalFormatting>
  <conditionalFormatting sqref="O5:R16">
    <cfRule type="expression" dxfId="11" priority="13">
      <formula>$O5="Alto impacto y bajo esfuerzo"</formula>
    </cfRule>
    <cfRule type="expression" dxfId="10" priority="14">
      <formula>$O5="Alto impacto y alto esfuerzo"</formula>
    </cfRule>
    <cfRule type="expression" dxfId="9" priority="15">
      <formula>$O5="Bajo impacto y bajo esfuerzo"</formula>
    </cfRule>
    <cfRule type="expression" dxfId="8" priority="16">
      <formula>$O5="Bajo impacto y alto esfuerzo"</formula>
    </cfRule>
  </conditionalFormatting>
  <conditionalFormatting sqref="O10:R16">
    <cfRule type="expression" dxfId="7" priority="5">
      <formula>$O10="Alto impacto y bajo esfuerzo"</formula>
    </cfRule>
    <cfRule type="expression" dxfId="6" priority="6">
      <formula>$O10="Alto impacto y alto esfuerzo"</formula>
    </cfRule>
    <cfRule type="expression" dxfId="5" priority="7">
      <formula>$O10="Bajo impacto y bajo esfuerzo"</formula>
    </cfRule>
    <cfRule type="expression" dxfId="4" priority="8">
      <formula>$O10="Bajo impacto y alto esfuerzo"</formula>
    </cfRule>
  </conditionalFormatting>
  <conditionalFormatting sqref="S5:S16">
    <cfRule type="containsText" dxfId="3" priority="9" operator="containsText" text="2">
      <formula>NOT(ISERROR(SEARCH("2",S5)))</formula>
    </cfRule>
    <cfRule type="containsText" dxfId="2" priority="10" operator="containsText" text="1">
      <formula>NOT(ISERROR(SEARCH("1",S5)))</formula>
    </cfRule>
    <cfRule type="containsText" dxfId="1" priority="11" operator="containsText" text="3">
      <formula>NOT(ISERROR(SEARCH("3",S5)))</formula>
    </cfRule>
    <cfRule type="containsText" dxfId="0" priority="12" operator="containsText" text="4">
      <formula>NOT(ISERROR(SEARCH("4",S5)))</formula>
    </cfRule>
  </conditionalFormatting>
  <dataValidations count="2">
    <dataValidation type="list" allowBlank="1" showInputMessage="1" showErrorMessage="1" sqref="F5:F16" xr:uid="{CB436F53-6E8C-4FEB-B13B-4F79A4CAD77C}">
      <formula1>"Por Iniciar,En Proceso,Atrasada,Finalizada"</formula1>
    </dataValidation>
    <dataValidation type="list" allowBlank="1" showInputMessage="1" showErrorMessage="1" sqref="I5:I16 L5:L16" xr:uid="{5B2B7482-F532-4DF2-87DD-C428A54795B8}">
      <formula1>"1,2,3,4,5"</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A39E-B2CF-4399-BD5D-64D66E3861A6}">
  <dimension ref="A1:E20"/>
  <sheetViews>
    <sheetView zoomScale="85" zoomScaleNormal="85" workbookViewId="0">
      <selection activeCell="B5" sqref="B5"/>
    </sheetView>
  </sheetViews>
  <sheetFormatPr baseColWidth="10" defaultColWidth="0" defaultRowHeight="14.5" zeroHeight="1"/>
  <cols>
    <col min="1" max="1" width="2.54296875" customWidth="1"/>
    <col min="2" max="2" width="23.7265625" customWidth="1"/>
    <col min="3" max="3" width="49.26953125" customWidth="1"/>
    <col min="4" max="4" width="96.7265625" customWidth="1"/>
    <col min="5" max="5" width="2.54296875" customWidth="1"/>
    <col min="6" max="16384" width="10.90625" hidden="1"/>
  </cols>
  <sheetData>
    <row r="1" spans="1:5">
      <c r="A1" s="53"/>
      <c r="B1" s="53"/>
      <c r="C1" s="53"/>
      <c r="D1" s="53"/>
      <c r="E1" s="53"/>
    </row>
    <row r="2" spans="1:5" ht="23.5">
      <c r="A2" s="53"/>
      <c r="B2" s="75" t="s">
        <v>114</v>
      </c>
      <c r="C2" s="53"/>
      <c r="D2" s="53"/>
      <c r="E2" s="53"/>
    </row>
    <row r="3" spans="1:5" ht="15" thickBot="1">
      <c r="A3" s="53"/>
      <c r="B3" s="53"/>
      <c r="C3" s="53"/>
      <c r="D3" s="53"/>
      <c r="E3" s="53"/>
    </row>
    <row r="4" spans="1:5" ht="19.5" customHeight="1" thickBot="1">
      <c r="A4" s="53"/>
      <c r="B4" s="50" t="s">
        <v>40</v>
      </c>
      <c r="C4" s="51" t="s">
        <v>115</v>
      </c>
      <c r="D4" s="52" t="s">
        <v>116</v>
      </c>
      <c r="E4" s="53"/>
    </row>
    <row r="5" spans="1:5" ht="26" customHeight="1">
      <c r="A5" s="53"/>
      <c r="B5" s="81" t="s">
        <v>717</v>
      </c>
      <c r="C5" s="82"/>
      <c r="D5" s="83"/>
      <c r="E5" s="53"/>
    </row>
    <row r="6" spans="1:5" ht="26" customHeight="1">
      <c r="A6" s="53"/>
      <c r="B6" s="84"/>
      <c r="C6" s="85"/>
      <c r="D6" s="86"/>
      <c r="E6" s="53"/>
    </row>
    <row r="7" spans="1:5" ht="26" customHeight="1">
      <c r="A7" s="53"/>
      <c r="B7" s="84"/>
      <c r="C7" s="85"/>
      <c r="D7" s="86"/>
      <c r="E7" s="53"/>
    </row>
    <row r="8" spans="1:5" ht="26" customHeight="1">
      <c r="A8" s="53"/>
      <c r="B8" s="84"/>
      <c r="C8" s="85"/>
      <c r="D8" s="86"/>
      <c r="E8" s="53"/>
    </row>
    <row r="9" spans="1:5" ht="26" customHeight="1">
      <c r="A9" s="53"/>
      <c r="B9" s="84"/>
      <c r="C9" s="85"/>
      <c r="D9" s="86"/>
      <c r="E9" s="53"/>
    </row>
    <row r="10" spans="1:5" ht="26" customHeight="1">
      <c r="A10" s="53"/>
      <c r="B10" s="84"/>
      <c r="C10" s="85"/>
      <c r="D10" s="86"/>
      <c r="E10" s="53"/>
    </row>
    <row r="11" spans="1:5" ht="26" customHeight="1">
      <c r="A11" s="53"/>
      <c r="B11" s="84"/>
      <c r="C11" s="85"/>
      <c r="D11" s="86"/>
      <c r="E11" s="53"/>
    </row>
    <row r="12" spans="1:5" ht="26" customHeight="1">
      <c r="A12" s="53"/>
      <c r="B12" s="84"/>
      <c r="C12" s="85"/>
      <c r="D12" s="86"/>
      <c r="E12" s="53"/>
    </row>
    <row r="13" spans="1:5" ht="26" customHeight="1">
      <c r="A13" s="53"/>
      <c r="B13" s="84"/>
      <c r="C13" s="85"/>
      <c r="D13" s="86"/>
      <c r="E13" s="53"/>
    </row>
    <row r="14" spans="1:5" ht="26" customHeight="1">
      <c r="A14" s="53"/>
      <c r="B14" s="84"/>
      <c r="C14" s="85"/>
      <c r="D14" s="86"/>
      <c r="E14" s="53"/>
    </row>
    <row r="15" spans="1:5" ht="26" customHeight="1">
      <c r="A15" s="53"/>
      <c r="B15" s="84"/>
      <c r="C15" s="85"/>
      <c r="D15" s="86"/>
      <c r="E15" s="53"/>
    </row>
    <row r="16" spans="1:5" ht="26" customHeight="1">
      <c r="A16" s="53"/>
      <c r="B16" s="84"/>
      <c r="C16" s="85"/>
      <c r="D16" s="86"/>
      <c r="E16" s="53"/>
    </row>
    <row r="17" spans="1:5" ht="26" customHeight="1">
      <c r="A17" s="53"/>
      <c r="B17" s="87"/>
      <c r="C17" s="88"/>
      <c r="D17" s="89"/>
      <c r="E17" s="53"/>
    </row>
    <row r="18" spans="1:5" ht="26" customHeight="1">
      <c r="A18" s="53"/>
      <c r="B18" s="87"/>
      <c r="C18" s="88"/>
      <c r="D18" s="89"/>
      <c r="E18" s="53"/>
    </row>
    <row r="19" spans="1:5" ht="26" customHeight="1" thickBot="1">
      <c r="A19" s="53"/>
      <c r="B19" s="90"/>
      <c r="C19" s="91"/>
      <c r="D19" s="92"/>
      <c r="E19" s="53"/>
    </row>
    <row r="20" spans="1:5">
      <c r="A20" s="53"/>
      <c r="B20" s="53"/>
      <c r="C20" s="53"/>
      <c r="D20" s="53"/>
      <c r="E20" s="5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2646128-49F5-4B99-A56E-F92B22DBF7ED}">
          <x14:formula1>
            <xm:f>Escala!$B$6:$B$17</xm:f>
          </x14:formula1>
          <xm:sqref>B5:B19</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INICIO - DASHBOARD</vt:lpstr>
      <vt:lpstr>Preguntas</vt:lpstr>
      <vt:lpstr>Rúbrica de Evaluación</vt:lpstr>
      <vt:lpstr>Escala</vt:lpstr>
      <vt:lpstr>Listas Evaluación</vt:lpstr>
      <vt:lpstr>Matriz de Prioridades</vt:lpstr>
      <vt:lpstr>Evidencia Observada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Maximiliano Gajardo Herrera</cp:lastModifiedBy>
  <cp:revision>1</cp:revision>
  <dcterms:created xsi:type="dcterms:W3CDTF">2026-09-06T21:11:36Z</dcterms:created>
  <dcterms:modified xsi:type="dcterms:W3CDTF">2026-10-08T00:43:48Z</dcterms:modified>
  <dc:language>en-US</dc:language>
</cp:coreProperties>
</file>